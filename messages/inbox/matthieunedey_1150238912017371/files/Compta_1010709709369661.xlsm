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ieunedey/Desktop/"/>
    </mc:Choice>
  </mc:AlternateContent>
  <xr:revisionPtr revIDLastSave="0" documentId="13_ncr:1_{AA348C4C-5A55-254D-84EB-7C633817E4C1}" xr6:coauthVersionLast="45" xr6:coauthVersionMax="45" xr10:uidLastSave="{00000000-0000-0000-0000-000000000000}"/>
  <bookViews>
    <workbookView xWindow="0" yWindow="460" windowWidth="25580" windowHeight="14020" xr2:uid="{00000000-000D-0000-FFFF-FFFF00000000}"/>
  </bookViews>
  <sheets>
    <sheet name="Juillet" sheetId="53" r:id="rId1"/>
    <sheet name="Aout" sheetId="54" r:id="rId2"/>
    <sheet name="Septembre" sheetId="5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4" l="1"/>
  <c r="G35" i="54" l="1"/>
  <c r="G36" i="54"/>
  <c r="G37" i="54"/>
  <c r="G444" i="55" l="1"/>
  <c r="G443" i="55"/>
  <c r="G442" i="55"/>
  <c r="G441" i="55"/>
  <c r="G445" i="55" s="1"/>
  <c r="G437" i="55"/>
  <c r="G436" i="55"/>
  <c r="G435" i="55"/>
  <c r="G434" i="55"/>
  <c r="G433" i="55"/>
  <c r="G432" i="55"/>
  <c r="G431" i="55"/>
  <c r="G430" i="55"/>
  <c r="G438" i="55" s="1"/>
  <c r="B438" i="55" s="1"/>
  <c r="G426" i="55"/>
  <c r="G425" i="55"/>
  <c r="G424" i="55"/>
  <c r="G427" i="55" s="1"/>
  <c r="B427" i="55" s="1"/>
  <c r="G423" i="55"/>
  <c r="G422" i="55"/>
  <c r="G418" i="55"/>
  <c r="G417" i="55"/>
  <c r="G416" i="55"/>
  <c r="G415" i="55"/>
  <c r="G414" i="55"/>
  <c r="G413" i="55"/>
  <c r="G412" i="55"/>
  <c r="G411" i="55"/>
  <c r="G410" i="55"/>
  <c r="G409" i="55"/>
  <c r="G408" i="55"/>
  <c r="G419" i="55" s="1"/>
  <c r="B419" i="55" s="1"/>
  <c r="G404" i="55"/>
  <c r="G403" i="55"/>
  <c r="G402" i="55"/>
  <c r="G401" i="55"/>
  <c r="G400" i="55"/>
  <c r="G399" i="55"/>
  <c r="G398" i="55"/>
  <c r="G397" i="55"/>
  <c r="G396" i="55"/>
  <c r="G395" i="55"/>
  <c r="G394" i="55"/>
  <c r="G405" i="55" s="1"/>
  <c r="B405" i="55" s="1"/>
  <c r="G387" i="55"/>
  <c r="G386" i="55"/>
  <c r="G385" i="55"/>
  <c r="G384" i="55"/>
  <c r="G383" i="55"/>
  <c r="G382" i="55"/>
  <c r="G381" i="55"/>
  <c r="G388" i="55" s="1"/>
  <c r="B388" i="55" s="1"/>
  <c r="G380" i="55"/>
  <c r="G379" i="55"/>
  <c r="G378" i="55"/>
  <c r="G374" i="55"/>
  <c r="G373" i="55"/>
  <c r="G372" i="55"/>
  <c r="G371" i="55"/>
  <c r="G370" i="55"/>
  <c r="G369" i="55"/>
  <c r="G368" i="55"/>
  <c r="G367" i="55"/>
  <c r="G366" i="55"/>
  <c r="G365" i="55"/>
  <c r="G364" i="55"/>
  <c r="G375" i="55" s="1"/>
  <c r="B375" i="55" s="1"/>
  <c r="G360" i="55"/>
  <c r="G359" i="55"/>
  <c r="G358" i="55"/>
  <c r="G357" i="55"/>
  <c r="G356" i="55"/>
  <c r="G355" i="55"/>
  <c r="G354" i="55"/>
  <c r="G353" i="55"/>
  <c r="G352" i="55"/>
  <c r="G351" i="55"/>
  <c r="G350" i="55"/>
  <c r="G361" i="55" s="1"/>
  <c r="B361" i="55" s="1"/>
  <c r="G343" i="55"/>
  <c r="G342" i="55"/>
  <c r="G341" i="55"/>
  <c r="G340" i="55"/>
  <c r="G339" i="55"/>
  <c r="G338" i="55"/>
  <c r="G337" i="55"/>
  <c r="G336" i="55"/>
  <c r="G335" i="55"/>
  <c r="G334" i="55"/>
  <c r="G333" i="55"/>
  <c r="G344" i="55" s="1"/>
  <c r="B344" i="55" s="1"/>
  <c r="G329" i="55"/>
  <c r="G328" i="55"/>
  <c r="G327" i="55"/>
  <c r="G326" i="55"/>
  <c r="G325" i="55"/>
  <c r="G324" i="55"/>
  <c r="G323" i="55"/>
  <c r="G322" i="55"/>
  <c r="G321" i="55"/>
  <c r="G320" i="55"/>
  <c r="G319" i="55"/>
  <c r="G330" i="55" s="1"/>
  <c r="B330" i="55" s="1"/>
  <c r="G315" i="55"/>
  <c r="G314" i="55"/>
  <c r="G313" i="55"/>
  <c r="G312" i="55"/>
  <c r="G311" i="55"/>
  <c r="G310" i="55"/>
  <c r="G309" i="55"/>
  <c r="G308" i="55"/>
  <c r="G307" i="55"/>
  <c r="G306" i="55"/>
  <c r="G316" i="55" s="1"/>
  <c r="B316" i="55" s="1"/>
  <c r="G302" i="55"/>
  <c r="G301" i="55"/>
  <c r="G300" i="55"/>
  <c r="G299" i="55"/>
  <c r="G298" i="55"/>
  <c r="G297" i="55"/>
  <c r="G296" i="55"/>
  <c r="G295" i="55"/>
  <c r="G294" i="55"/>
  <c r="G293" i="55"/>
  <c r="G292" i="55"/>
  <c r="G291" i="55"/>
  <c r="G290" i="55"/>
  <c r="G303" i="55" s="1"/>
  <c r="B303" i="55" s="1"/>
  <c r="G289" i="55"/>
  <c r="G285" i="55"/>
  <c r="G284" i="55"/>
  <c r="G283" i="55"/>
  <c r="G282" i="55"/>
  <c r="G281" i="55"/>
  <c r="G280" i="55"/>
  <c r="G279" i="55"/>
  <c r="G278" i="55"/>
  <c r="G277" i="55"/>
  <c r="G276" i="55"/>
  <c r="G275" i="55"/>
  <c r="G274" i="55"/>
  <c r="G286" i="55" s="1"/>
  <c r="B286" i="55" s="1"/>
  <c r="G273" i="55"/>
  <c r="G272" i="55"/>
  <c r="G268" i="55"/>
  <c r="G267" i="55"/>
  <c r="G266" i="55"/>
  <c r="G265" i="55"/>
  <c r="G264" i="55"/>
  <c r="G263" i="55"/>
  <c r="G262" i="55"/>
  <c r="G269" i="55" s="1"/>
  <c r="B269" i="55" s="1"/>
  <c r="G261" i="55"/>
  <c r="G260" i="55"/>
  <c r="G259" i="55"/>
  <c r="G255" i="55"/>
  <c r="G254" i="55"/>
  <c r="G253" i="55"/>
  <c r="G252" i="55"/>
  <c r="G251" i="55"/>
  <c r="G250" i="55"/>
  <c r="G249" i="55"/>
  <c r="G248" i="55"/>
  <c r="G247" i="55"/>
  <c r="G246" i="55"/>
  <c r="G256" i="55" s="1"/>
  <c r="B256" i="55" s="1"/>
  <c r="G242" i="55"/>
  <c r="G241" i="55"/>
  <c r="G240" i="55"/>
  <c r="G239" i="55"/>
  <c r="G238" i="55"/>
  <c r="G237" i="55"/>
  <c r="G236" i="55"/>
  <c r="G235" i="55"/>
  <c r="G234" i="55"/>
  <c r="G233" i="55"/>
  <c r="G232" i="55"/>
  <c r="G243" i="55" s="1"/>
  <c r="B243" i="55" s="1"/>
  <c r="G228" i="55"/>
  <c r="G227" i="55"/>
  <c r="G226" i="55"/>
  <c r="G225" i="55"/>
  <c r="G224" i="55"/>
  <c r="G223" i="55"/>
  <c r="G222" i="55"/>
  <c r="G229" i="55" s="1"/>
  <c r="B229" i="55" s="1"/>
  <c r="G221" i="55"/>
  <c r="G220" i="55"/>
  <c r="G219" i="55"/>
  <c r="G215" i="55"/>
  <c r="G214" i="55"/>
  <c r="G213" i="55"/>
  <c r="G212" i="55"/>
  <c r="G211" i="55"/>
  <c r="G210" i="55"/>
  <c r="G209" i="55"/>
  <c r="G208" i="55"/>
  <c r="G207" i="55"/>
  <c r="G206" i="55"/>
  <c r="G205" i="55"/>
  <c r="G204" i="55"/>
  <c r="G203" i="55"/>
  <c r="G202" i="55"/>
  <c r="G216" i="55" s="1"/>
  <c r="B216" i="55" s="1"/>
  <c r="G198" i="55"/>
  <c r="G197" i="55"/>
  <c r="G196" i="55"/>
  <c r="G195" i="55"/>
  <c r="G194" i="55"/>
  <c r="G193" i="55"/>
  <c r="G192" i="55"/>
  <c r="G191" i="55"/>
  <c r="G190" i="55"/>
  <c r="G199" i="55" s="1"/>
  <c r="B199" i="55" s="1"/>
  <c r="G189" i="55"/>
  <c r="G185" i="55"/>
  <c r="G184" i="55"/>
  <c r="G183" i="55"/>
  <c r="G182" i="55"/>
  <c r="G181" i="55"/>
  <c r="G180" i="55"/>
  <c r="G179" i="55"/>
  <c r="G178" i="55"/>
  <c r="G186" i="55" s="1"/>
  <c r="B186" i="55" s="1"/>
  <c r="G177" i="55"/>
  <c r="G176" i="55"/>
  <c r="G172" i="55"/>
  <c r="G171" i="55"/>
  <c r="G170" i="55"/>
  <c r="G169" i="55"/>
  <c r="G168" i="55"/>
  <c r="G167" i="55"/>
  <c r="G166" i="55"/>
  <c r="G165" i="55"/>
  <c r="G164" i="55"/>
  <c r="G163" i="55"/>
  <c r="G162" i="55"/>
  <c r="G173" i="55" s="1"/>
  <c r="B173" i="55" s="1"/>
  <c r="G161" i="55"/>
  <c r="G160" i="55"/>
  <c r="G156" i="55"/>
  <c r="G155" i="55"/>
  <c r="G154" i="55"/>
  <c r="G153" i="55"/>
  <c r="G152" i="55"/>
  <c r="G151" i="55"/>
  <c r="G150" i="55"/>
  <c r="G149" i="55"/>
  <c r="G148" i="55"/>
  <c r="G147" i="55"/>
  <c r="G146" i="55"/>
  <c r="G157" i="55" s="1"/>
  <c r="B157" i="55" s="1"/>
  <c r="G142" i="55"/>
  <c r="G141" i="55"/>
  <c r="G140" i="55"/>
  <c r="G139" i="55"/>
  <c r="G138" i="55"/>
  <c r="G137" i="55"/>
  <c r="G136" i="55"/>
  <c r="G135" i="55"/>
  <c r="G134" i="55"/>
  <c r="G133" i="55"/>
  <c r="G132" i="55"/>
  <c r="G143" i="55" s="1"/>
  <c r="B143" i="55" s="1"/>
  <c r="G128" i="55"/>
  <c r="G127" i="55"/>
  <c r="G126" i="55"/>
  <c r="G125" i="55"/>
  <c r="G124" i="55"/>
  <c r="G123" i="55"/>
  <c r="G122" i="55"/>
  <c r="G121" i="55"/>
  <c r="G120" i="55"/>
  <c r="G119" i="55"/>
  <c r="G118" i="55"/>
  <c r="G129" i="55" s="1"/>
  <c r="B129" i="55" s="1"/>
  <c r="G117" i="55"/>
  <c r="G116" i="55"/>
  <c r="G112" i="55"/>
  <c r="G111" i="55"/>
  <c r="G110" i="55"/>
  <c r="G109" i="55"/>
  <c r="G108" i="55"/>
  <c r="G107" i="55"/>
  <c r="G106" i="55"/>
  <c r="G105" i="55"/>
  <c r="G104" i="55"/>
  <c r="G103" i="55"/>
  <c r="G102" i="55"/>
  <c r="G113" i="55" s="1"/>
  <c r="B113" i="55" s="1"/>
  <c r="G101" i="55"/>
  <c r="G100" i="55"/>
  <c r="G96" i="55"/>
  <c r="G95" i="55"/>
  <c r="G94" i="55"/>
  <c r="G93" i="55"/>
  <c r="G92" i="55"/>
  <c r="G91" i="55"/>
  <c r="G90" i="55"/>
  <c r="G89" i="55"/>
  <c r="G88" i="55"/>
  <c r="G87" i="55"/>
  <c r="G86" i="55"/>
  <c r="G97" i="55" s="1"/>
  <c r="B97" i="55" s="1"/>
  <c r="G85" i="55"/>
  <c r="G84" i="55"/>
  <c r="G80" i="55"/>
  <c r="G79" i="55"/>
  <c r="G78" i="55"/>
  <c r="G77" i="55"/>
  <c r="G76" i="55"/>
  <c r="G75" i="55"/>
  <c r="G74" i="55"/>
  <c r="G73" i="55"/>
  <c r="G72" i="55"/>
  <c r="G71" i="55"/>
  <c r="G70" i="55"/>
  <c r="G81" i="55" s="1"/>
  <c r="B81" i="55" s="1"/>
  <c r="G69" i="55"/>
  <c r="G68" i="55"/>
  <c r="G67" i="55"/>
  <c r="C65" i="55"/>
  <c r="C82" i="55" s="1"/>
  <c r="C98" i="55" s="1"/>
  <c r="C114" i="55" s="1"/>
  <c r="C130" i="55" s="1"/>
  <c r="C144" i="55" s="1"/>
  <c r="C158" i="55" s="1"/>
  <c r="C174" i="55" s="1"/>
  <c r="C187" i="55" s="1"/>
  <c r="C200" i="55" s="1"/>
  <c r="C217" i="55" s="1"/>
  <c r="C230" i="55" s="1"/>
  <c r="C244" i="55" s="1"/>
  <c r="C257" i="55" s="1"/>
  <c r="C270" i="55" s="1"/>
  <c r="C287" i="55" s="1"/>
  <c r="C304" i="55" s="1"/>
  <c r="C317" i="55" s="1"/>
  <c r="C331" i="55" s="1"/>
  <c r="C345" i="55" s="1"/>
  <c r="C362" i="55" s="1"/>
  <c r="C376" i="55" s="1"/>
  <c r="C389" i="55" s="1"/>
  <c r="C406" i="55" s="1"/>
  <c r="C420" i="55" s="1"/>
  <c r="C428" i="55" s="1"/>
  <c r="C439" i="55" s="1"/>
  <c r="G63" i="55"/>
  <c r="G62" i="55"/>
  <c r="G61" i="55"/>
  <c r="G60" i="55"/>
  <c r="G59" i="55"/>
  <c r="G58" i="55"/>
  <c r="G57" i="55"/>
  <c r="G56" i="55"/>
  <c r="G55" i="55"/>
  <c r="G54" i="55"/>
  <c r="G53" i="55"/>
  <c r="G52" i="55"/>
  <c r="G64" i="55" s="1"/>
  <c r="B64" i="55" s="1"/>
  <c r="G49" i="55"/>
  <c r="B49" i="55" s="1"/>
  <c r="G48" i="55"/>
  <c r="G47" i="55"/>
  <c r="G46" i="55"/>
  <c r="G45" i="55"/>
  <c r="G44" i="55"/>
  <c r="G43" i="55"/>
  <c r="G42" i="55"/>
  <c r="G41" i="55"/>
  <c r="G40" i="55"/>
  <c r="G39" i="55"/>
  <c r="G38" i="55"/>
  <c r="G34" i="55"/>
  <c r="G33" i="55"/>
  <c r="G32" i="55"/>
  <c r="G31" i="55"/>
  <c r="G30" i="55"/>
  <c r="G29" i="55"/>
  <c r="G28" i="55"/>
  <c r="G27" i="55"/>
  <c r="G26" i="55"/>
  <c r="G25" i="55"/>
  <c r="G24" i="55"/>
  <c r="G23" i="55"/>
  <c r="G22" i="55"/>
  <c r="G35" i="55" s="1"/>
  <c r="B35" i="55" s="1"/>
  <c r="C20" i="55"/>
  <c r="C36" i="55" s="1"/>
  <c r="C50" i="55" s="1"/>
  <c r="G18" i="55"/>
  <c r="G17" i="55"/>
  <c r="G16" i="55"/>
  <c r="G15" i="55"/>
  <c r="G14" i="55"/>
  <c r="G13" i="55"/>
  <c r="G12" i="55"/>
  <c r="G11" i="55"/>
  <c r="G10" i="55"/>
  <c r="G9" i="55"/>
  <c r="G8" i="55"/>
  <c r="G7" i="55"/>
  <c r="I2" i="55"/>
  <c r="E445" i="55" l="1"/>
  <c r="B445" i="55"/>
  <c r="G19" i="55"/>
  <c r="B19" i="55" s="1"/>
  <c r="G443" i="53"/>
  <c r="G444" i="53"/>
  <c r="G429" i="53"/>
  <c r="G430" i="53"/>
  <c r="G431" i="53"/>
  <c r="G432" i="53"/>
  <c r="G433" i="53"/>
  <c r="G434" i="53"/>
  <c r="G435" i="53"/>
  <c r="G436" i="53"/>
  <c r="G437" i="53"/>
  <c r="G1" i="55" l="1"/>
  <c r="D1" i="55"/>
  <c r="K1" i="55" s="1"/>
  <c r="G408" i="53"/>
  <c r="G407" i="53"/>
  <c r="G221" i="53"/>
  <c r="G222" i="53"/>
  <c r="G73" i="54" l="1"/>
  <c r="G397" i="53" l="1"/>
  <c r="G398" i="53"/>
  <c r="G399" i="53"/>
  <c r="G393" i="53"/>
  <c r="G392" i="53"/>
  <c r="G376" i="53" l="1"/>
  <c r="G377" i="53"/>
  <c r="G378" i="53"/>
  <c r="G348" i="53" l="1"/>
  <c r="G349" i="53"/>
  <c r="G350" i="53"/>
  <c r="G448" i="54" l="1"/>
  <c r="E448" i="54"/>
  <c r="B448" i="54"/>
  <c r="G447" i="54"/>
  <c r="G446" i="54"/>
  <c r="G445" i="54"/>
  <c r="G444" i="54"/>
  <c r="C442" i="54"/>
  <c r="G441" i="54"/>
  <c r="B441" i="54"/>
  <c r="G440" i="54"/>
  <c r="G439" i="54"/>
  <c r="G438" i="54"/>
  <c r="G437" i="54"/>
  <c r="G436" i="54"/>
  <c r="G435" i="54"/>
  <c r="G434" i="54"/>
  <c r="G433" i="54"/>
  <c r="C431" i="54"/>
  <c r="G430" i="54"/>
  <c r="B430" i="54"/>
  <c r="G429" i="54"/>
  <c r="G428" i="54"/>
  <c r="G427" i="54"/>
  <c r="G426" i="54"/>
  <c r="G425" i="54"/>
  <c r="C423" i="54"/>
  <c r="G422" i="54"/>
  <c r="B422" i="54"/>
  <c r="G421" i="54"/>
  <c r="G420" i="54"/>
  <c r="G419" i="54"/>
  <c r="G418" i="54"/>
  <c r="G417" i="54"/>
  <c r="G416" i="54"/>
  <c r="G415" i="54"/>
  <c r="G414" i="54"/>
  <c r="G413" i="54"/>
  <c r="G412" i="54"/>
  <c r="G411" i="54"/>
  <c r="C409" i="54"/>
  <c r="G408" i="54"/>
  <c r="B408" i="54"/>
  <c r="G407" i="54"/>
  <c r="G406" i="54"/>
  <c r="G405" i="54"/>
  <c r="G404" i="54"/>
  <c r="G403" i="54"/>
  <c r="G402" i="54"/>
  <c r="G401" i="54"/>
  <c r="G400" i="54"/>
  <c r="G399" i="54"/>
  <c r="G398" i="54"/>
  <c r="G397" i="54"/>
  <c r="C392" i="54"/>
  <c r="G391" i="54"/>
  <c r="B391" i="54"/>
  <c r="G390" i="54"/>
  <c r="G389" i="54"/>
  <c r="G388" i="54"/>
  <c r="G387" i="54"/>
  <c r="G386" i="54"/>
  <c r="G385" i="54"/>
  <c r="G384" i="54"/>
  <c r="G383" i="54"/>
  <c r="G382" i="54"/>
  <c r="G381" i="54"/>
  <c r="C379" i="54"/>
  <c r="G378" i="54"/>
  <c r="B378" i="54"/>
  <c r="G377" i="54"/>
  <c r="G376" i="54"/>
  <c r="G375" i="54"/>
  <c r="G374" i="54"/>
  <c r="G373" i="54"/>
  <c r="G372" i="54"/>
  <c r="G371" i="54"/>
  <c r="G370" i="54"/>
  <c r="G369" i="54"/>
  <c r="G368" i="54"/>
  <c r="G367" i="54"/>
  <c r="C365" i="54"/>
  <c r="G364" i="54"/>
  <c r="B364" i="54"/>
  <c r="G363" i="54"/>
  <c r="G362" i="54"/>
  <c r="G361" i="54"/>
  <c r="G360" i="54"/>
  <c r="G359" i="54"/>
  <c r="G358" i="54"/>
  <c r="G357" i="54"/>
  <c r="G356" i="54"/>
  <c r="G355" i="54"/>
  <c r="G354" i="54"/>
  <c r="G353" i="54"/>
  <c r="C348" i="54"/>
  <c r="G347" i="54"/>
  <c r="B347" i="54"/>
  <c r="G346" i="54"/>
  <c r="G345" i="54"/>
  <c r="G344" i="54"/>
  <c r="G343" i="54"/>
  <c r="G342" i="54"/>
  <c r="G341" i="54"/>
  <c r="G340" i="54"/>
  <c r="G339" i="54"/>
  <c r="G338" i="54"/>
  <c r="G337" i="54"/>
  <c r="G336" i="54"/>
  <c r="C334" i="54"/>
  <c r="G333" i="54"/>
  <c r="B333" i="54"/>
  <c r="G332" i="54"/>
  <c r="G331" i="54"/>
  <c r="G330" i="54"/>
  <c r="G329" i="54"/>
  <c r="G328" i="54"/>
  <c r="G327" i="54"/>
  <c r="G326" i="54"/>
  <c r="G325" i="54"/>
  <c r="G324" i="54"/>
  <c r="G323" i="54"/>
  <c r="G322" i="54"/>
  <c r="C320" i="54"/>
  <c r="G319" i="54"/>
  <c r="B319" i="54"/>
  <c r="G318" i="54"/>
  <c r="G317" i="54"/>
  <c r="G316" i="54"/>
  <c r="G315" i="54"/>
  <c r="G314" i="54"/>
  <c r="G313" i="54"/>
  <c r="G312" i="54"/>
  <c r="G311" i="54"/>
  <c r="G310" i="54"/>
  <c r="G309" i="54"/>
  <c r="C307" i="54"/>
  <c r="G306" i="54"/>
  <c r="B306" i="54"/>
  <c r="G305" i="54"/>
  <c r="G304" i="54"/>
  <c r="G303" i="54"/>
  <c r="G302" i="54"/>
  <c r="G301" i="54"/>
  <c r="G300" i="54"/>
  <c r="G299" i="54"/>
  <c r="G298" i="54"/>
  <c r="G297" i="54"/>
  <c r="G296" i="54"/>
  <c r="G295" i="54"/>
  <c r="G294" i="54"/>
  <c r="G293" i="54"/>
  <c r="G292" i="54"/>
  <c r="C290" i="54"/>
  <c r="G289" i="54"/>
  <c r="B289" i="54"/>
  <c r="G288" i="54"/>
  <c r="G287" i="54"/>
  <c r="G286" i="54"/>
  <c r="G285" i="54"/>
  <c r="G284" i="54"/>
  <c r="G283" i="54"/>
  <c r="G282" i="54"/>
  <c r="G281" i="54"/>
  <c r="G280" i="54"/>
  <c r="G279" i="54"/>
  <c r="G278" i="54"/>
  <c r="G277" i="54"/>
  <c r="G276" i="54"/>
  <c r="G275" i="54"/>
  <c r="C273" i="54"/>
  <c r="G272" i="54"/>
  <c r="B272" i="54"/>
  <c r="G271" i="54"/>
  <c r="G270" i="54"/>
  <c r="G269" i="54"/>
  <c r="G268" i="54"/>
  <c r="G267" i="54"/>
  <c r="G266" i="54"/>
  <c r="G265" i="54"/>
  <c r="G264" i="54"/>
  <c r="G263" i="54"/>
  <c r="G262" i="54"/>
  <c r="C260" i="54"/>
  <c r="G259" i="54"/>
  <c r="B259" i="54"/>
  <c r="G258" i="54"/>
  <c r="G257" i="54"/>
  <c r="G256" i="54"/>
  <c r="G255" i="54"/>
  <c r="G254" i="54"/>
  <c r="G253" i="54"/>
  <c r="G252" i="54"/>
  <c r="G251" i="54"/>
  <c r="G250" i="54"/>
  <c r="G249" i="54"/>
  <c r="C247" i="54"/>
  <c r="G246" i="54"/>
  <c r="B246" i="54"/>
  <c r="G245" i="54"/>
  <c r="G244" i="54"/>
  <c r="G243" i="54"/>
  <c r="G242" i="54"/>
  <c r="G241" i="54"/>
  <c r="G240" i="54"/>
  <c r="G239" i="54"/>
  <c r="G238" i="54"/>
  <c r="G237" i="54"/>
  <c r="G236" i="54"/>
  <c r="G235" i="54"/>
  <c r="C233" i="54"/>
  <c r="G232" i="54"/>
  <c r="B232" i="54"/>
  <c r="G231" i="54"/>
  <c r="G230" i="54"/>
  <c r="G229" i="54"/>
  <c r="G228" i="54"/>
  <c r="G227" i="54"/>
  <c r="G226" i="54"/>
  <c r="G225" i="54"/>
  <c r="G224" i="54"/>
  <c r="G223" i="54"/>
  <c r="G222" i="54"/>
  <c r="C220" i="54"/>
  <c r="G219" i="54"/>
  <c r="B219" i="54"/>
  <c r="G218" i="54"/>
  <c r="G217" i="54"/>
  <c r="G216" i="54"/>
  <c r="G215" i="54"/>
  <c r="G214" i="54"/>
  <c r="G213" i="54"/>
  <c r="G212" i="54"/>
  <c r="G211" i="54"/>
  <c r="G210" i="54"/>
  <c r="G209" i="54"/>
  <c r="G208" i="54"/>
  <c r="G207" i="54"/>
  <c r="G206" i="54"/>
  <c r="G205" i="54"/>
  <c r="C203" i="54"/>
  <c r="G202" i="54"/>
  <c r="B202" i="54"/>
  <c r="G201" i="54"/>
  <c r="G200" i="54"/>
  <c r="G199" i="54"/>
  <c r="G198" i="54"/>
  <c r="G197" i="54"/>
  <c r="G196" i="54"/>
  <c r="G195" i="54"/>
  <c r="G194" i="54"/>
  <c r="G193" i="54"/>
  <c r="G192" i="54"/>
  <c r="C190" i="54"/>
  <c r="G189" i="54"/>
  <c r="B189" i="54"/>
  <c r="G188" i="54"/>
  <c r="G187" i="54"/>
  <c r="G186" i="54"/>
  <c r="G185" i="54"/>
  <c r="G184" i="54"/>
  <c r="G183" i="54"/>
  <c r="G182" i="54"/>
  <c r="G181" i="54"/>
  <c r="G180" i="54"/>
  <c r="G179" i="54"/>
  <c r="C177" i="54"/>
  <c r="G176" i="54"/>
  <c r="B176" i="54"/>
  <c r="G175" i="54"/>
  <c r="G174" i="54"/>
  <c r="G173" i="54"/>
  <c r="G172" i="54"/>
  <c r="G171" i="54"/>
  <c r="G170" i="54"/>
  <c r="G169" i="54"/>
  <c r="G168" i="54"/>
  <c r="G167" i="54"/>
  <c r="G166" i="54"/>
  <c r="G165" i="54"/>
  <c r="G164" i="54"/>
  <c r="G163" i="54"/>
  <c r="C161" i="54"/>
  <c r="G160" i="54"/>
  <c r="B160" i="54"/>
  <c r="G159" i="54"/>
  <c r="G158" i="54"/>
  <c r="G157" i="54"/>
  <c r="G156" i="54"/>
  <c r="G155" i="54"/>
  <c r="G154" i="54"/>
  <c r="G153" i="54"/>
  <c r="G152" i="54"/>
  <c r="G151" i="54"/>
  <c r="G150" i="54"/>
  <c r="G149" i="54"/>
  <c r="C147" i="54"/>
  <c r="G146" i="54"/>
  <c r="B146" i="54"/>
  <c r="G145" i="54"/>
  <c r="G144" i="54"/>
  <c r="G143" i="54"/>
  <c r="G142" i="54"/>
  <c r="G141" i="54"/>
  <c r="G140" i="54"/>
  <c r="G139" i="54"/>
  <c r="G138" i="54"/>
  <c r="G137" i="54"/>
  <c r="G136" i="54"/>
  <c r="G135" i="54"/>
  <c r="C133" i="54"/>
  <c r="G132" i="54"/>
  <c r="B132" i="54"/>
  <c r="G131" i="54"/>
  <c r="G130" i="54"/>
  <c r="G129" i="54"/>
  <c r="G128" i="54"/>
  <c r="G127" i="54"/>
  <c r="G126" i="54"/>
  <c r="G125" i="54"/>
  <c r="G124" i="54"/>
  <c r="G123" i="54"/>
  <c r="G122" i="54"/>
  <c r="G121" i="54"/>
  <c r="G120" i="54"/>
  <c r="G119" i="54"/>
  <c r="C117" i="54"/>
  <c r="G115" i="54"/>
  <c r="G114" i="54"/>
  <c r="G113" i="54"/>
  <c r="G112" i="54"/>
  <c r="G111" i="54"/>
  <c r="G110" i="54"/>
  <c r="G109" i="54"/>
  <c r="G108" i="54"/>
  <c r="G107" i="54"/>
  <c r="G106" i="54"/>
  <c r="G105" i="54"/>
  <c r="G104" i="54"/>
  <c r="G103" i="54"/>
  <c r="G116" i="54" s="1"/>
  <c r="B116" i="54" s="1"/>
  <c r="C101" i="54"/>
  <c r="G99" i="54"/>
  <c r="G98" i="54"/>
  <c r="G97" i="54"/>
  <c r="G96" i="54"/>
  <c r="G95" i="54"/>
  <c r="G94" i="54"/>
  <c r="G93" i="54"/>
  <c r="G92" i="54"/>
  <c r="G91" i="54"/>
  <c r="G90" i="54"/>
  <c r="G89" i="54"/>
  <c r="G88" i="54"/>
  <c r="G87" i="54"/>
  <c r="G100" i="54" s="1"/>
  <c r="B100" i="54" s="1"/>
  <c r="C85" i="54"/>
  <c r="G83" i="54"/>
  <c r="G82" i="54"/>
  <c r="G81" i="54"/>
  <c r="G80" i="54"/>
  <c r="G79" i="54"/>
  <c r="G78" i="54"/>
  <c r="G77" i="54"/>
  <c r="G76" i="54"/>
  <c r="G75" i="54"/>
  <c r="G74" i="54"/>
  <c r="G72" i="54"/>
  <c r="G71" i="54"/>
  <c r="G84" i="54" s="1"/>
  <c r="B84" i="54" s="1"/>
  <c r="G70" i="54"/>
  <c r="C68" i="54"/>
  <c r="G66" i="54"/>
  <c r="G65" i="54"/>
  <c r="G64" i="54"/>
  <c r="G63" i="54"/>
  <c r="G62" i="54"/>
  <c r="G61" i="54"/>
  <c r="G60" i="54"/>
  <c r="G59" i="54"/>
  <c r="G58" i="54"/>
  <c r="G57" i="54"/>
  <c r="G56" i="54"/>
  <c r="G55" i="54"/>
  <c r="C53" i="54"/>
  <c r="G51" i="54"/>
  <c r="G50" i="54"/>
  <c r="G49" i="54"/>
  <c r="G48" i="54"/>
  <c r="G47" i="54"/>
  <c r="G46" i="54"/>
  <c r="G45" i="54"/>
  <c r="G44" i="54"/>
  <c r="G43" i="54"/>
  <c r="G42" i="54"/>
  <c r="G41" i="54"/>
  <c r="C39" i="54"/>
  <c r="G34" i="54"/>
  <c r="G33" i="54"/>
  <c r="G32" i="54"/>
  <c r="G31" i="54"/>
  <c r="G30" i="54"/>
  <c r="G29" i="54"/>
  <c r="G28" i="54"/>
  <c r="G27" i="54"/>
  <c r="G26" i="54"/>
  <c r="G25" i="54"/>
  <c r="G24" i="54"/>
  <c r="G23" i="54"/>
  <c r="G22" i="54"/>
  <c r="C20" i="54"/>
  <c r="G18" i="54"/>
  <c r="G17" i="54"/>
  <c r="G16" i="54"/>
  <c r="G15" i="54"/>
  <c r="G14" i="54"/>
  <c r="G13" i="54"/>
  <c r="G12" i="54"/>
  <c r="G11" i="54"/>
  <c r="G10" i="54"/>
  <c r="G9" i="54"/>
  <c r="G8" i="54"/>
  <c r="G7" i="54"/>
  <c r="G457" i="53"/>
  <c r="G456" i="53"/>
  <c r="G455" i="53"/>
  <c r="G454" i="53"/>
  <c r="G449" i="53"/>
  <c r="G448" i="53"/>
  <c r="G447" i="53"/>
  <c r="G446" i="53"/>
  <c r="G445" i="53"/>
  <c r="G442" i="53"/>
  <c r="G428" i="53"/>
  <c r="G439" i="53" s="1"/>
  <c r="G424" i="53"/>
  <c r="G423" i="53"/>
  <c r="G422" i="53"/>
  <c r="G421" i="53"/>
  <c r="G420" i="53"/>
  <c r="G419" i="53"/>
  <c r="G418" i="53"/>
  <c r="G417" i="53"/>
  <c r="G416" i="53"/>
  <c r="G415" i="53"/>
  <c r="G414" i="53"/>
  <c r="G425" i="53" s="1"/>
  <c r="G410" i="53"/>
  <c r="G409" i="53"/>
  <c r="G406" i="53"/>
  <c r="G405" i="53"/>
  <c r="G404" i="53"/>
  <c r="G403" i="53"/>
  <c r="G402" i="53"/>
  <c r="G401" i="53"/>
  <c r="G400" i="53"/>
  <c r="G391" i="53"/>
  <c r="G390" i="53"/>
  <c r="G389" i="53"/>
  <c r="G388" i="53"/>
  <c r="G387" i="53"/>
  <c r="G386" i="53"/>
  <c r="G385" i="53"/>
  <c r="G384" i="53"/>
  <c r="G383" i="53"/>
  <c r="G382" i="53"/>
  <c r="G394" i="53" s="1"/>
  <c r="G375" i="53"/>
  <c r="G374" i="53"/>
  <c r="G373" i="53"/>
  <c r="G372" i="53"/>
  <c r="G371" i="53"/>
  <c r="G370" i="53"/>
  <c r="G369" i="53"/>
  <c r="G368" i="53"/>
  <c r="G367" i="53"/>
  <c r="G366" i="53"/>
  <c r="G365" i="53"/>
  <c r="G361" i="53"/>
  <c r="G360" i="53"/>
  <c r="G359" i="53"/>
  <c r="G358" i="53"/>
  <c r="G357" i="53"/>
  <c r="G356" i="53"/>
  <c r="G355" i="53"/>
  <c r="G354" i="53"/>
  <c r="G353" i="53"/>
  <c r="G352" i="53"/>
  <c r="G351" i="53"/>
  <c r="G344" i="53"/>
  <c r="G343" i="53"/>
  <c r="G342" i="53"/>
  <c r="G341" i="53"/>
  <c r="G340" i="53"/>
  <c r="G339" i="53"/>
  <c r="G338" i="53"/>
  <c r="G337" i="53"/>
  <c r="G336" i="53"/>
  <c r="G335" i="53"/>
  <c r="G334" i="53"/>
  <c r="G330" i="53"/>
  <c r="G329" i="53"/>
  <c r="G328" i="53"/>
  <c r="G327" i="53"/>
  <c r="G326" i="53"/>
  <c r="G325" i="53"/>
  <c r="G324" i="53"/>
  <c r="G323" i="53"/>
  <c r="G322" i="53"/>
  <c r="G321" i="53"/>
  <c r="G320" i="53"/>
  <c r="G316" i="53"/>
  <c r="G315" i="53"/>
  <c r="G314" i="53"/>
  <c r="G313" i="53"/>
  <c r="G312" i="53"/>
  <c r="G311" i="53"/>
  <c r="G310" i="53"/>
  <c r="G309" i="53"/>
  <c r="G308" i="53"/>
  <c r="G307" i="53"/>
  <c r="G303" i="53"/>
  <c r="G302" i="53"/>
  <c r="G301" i="53"/>
  <c r="G300" i="53"/>
  <c r="G299" i="53"/>
  <c r="G298" i="53"/>
  <c r="G297" i="53"/>
  <c r="G296" i="53"/>
  <c r="G295" i="53"/>
  <c r="G294" i="53"/>
  <c r="G293" i="53"/>
  <c r="G292" i="53"/>
  <c r="G291" i="53"/>
  <c r="G290" i="53"/>
  <c r="G286" i="53"/>
  <c r="G285" i="53"/>
  <c r="G284" i="53"/>
  <c r="G283" i="53"/>
  <c r="G282" i="53"/>
  <c r="G281" i="53"/>
  <c r="G280" i="53"/>
  <c r="G279" i="53"/>
  <c r="G278" i="53"/>
  <c r="G277" i="53"/>
  <c r="G276" i="53"/>
  <c r="G275" i="53"/>
  <c r="G274" i="53"/>
  <c r="G273" i="53"/>
  <c r="G269" i="53"/>
  <c r="G268" i="53"/>
  <c r="G267" i="53"/>
  <c r="G266" i="53"/>
  <c r="G265" i="53"/>
  <c r="G264" i="53"/>
  <c r="G263" i="53"/>
  <c r="G262" i="53"/>
  <c r="G261" i="53"/>
  <c r="G260" i="53"/>
  <c r="G270" i="53" s="1"/>
  <c r="B270" i="53" s="1"/>
  <c r="G256" i="53"/>
  <c r="G255" i="53"/>
  <c r="G254" i="53"/>
  <c r="G253" i="53"/>
  <c r="G252" i="53"/>
  <c r="G251" i="53"/>
  <c r="G250" i="53"/>
  <c r="G249" i="53"/>
  <c r="G248" i="53"/>
  <c r="G247" i="53"/>
  <c r="G243" i="53"/>
  <c r="G242" i="53"/>
  <c r="G241" i="53"/>
  <c r="G240" i="53"/>
  <c r="G239" i="53"/>
  <c r="G238" i="53"/>
  <c r="G237" i="53"/>
  <c r="G236" i="53"/>
  <c r="G235" i="53"/>
  <c r="G234" i="53"/>
  <c r="G233" i="53"/>
  <c r="G244" i="53" s="1"/>
  <c r="B244" i="53" s="1"/>
  <c r="G229" i="53"/>
  <c r="G228" i="53"/>
  <c r="G227" i="53"/>
  <c r="G226" i="53"/>
  <c r="G225" i="53"/>
  <c r="G224" i="53"/>
  <c r="G223" i="53"/>
  <c r="G220" i="53"/>
  <c r="G219" i="53"/>
  <c r="G215" i="53"/>
  <c r="G214" i="53"/>
  <c r="G213" i="53"/>
  <c r="G212" i="53"/>
  <c r="G211" i="53"/>
  <c r="G210" i="53"/>
  <c r="G209" i="53"/>
  <c r="G208" i="53"/>
  <c r="G207" i="53"/>
  <c r="G206" i="53"/>
  <c r="G205" i="53"/>
  <c r="G204" i="53"/>
  <c r="G216" i="53" s="1"/>
  <c r="B216" i="53" s="1"/>
  <c r="G203" i="53"/>
  <c r="G202" i="53"/>
  <c r="G198" i="53"/>
  <c r="G197" i="53"/>
  <c r="G196" i="53"/>
  <c r="G195" i="53"/>
  <c r="G194" i="53"/>
  <c r="G193" i="53"/>
  <c r="G192" i="53"/>
  <c r="G191" i="53"/>
  <c r="G199" i="53" s="1"/>
  <c r="B199" i="53" s="1"/>
  <c r="G190" i="53"/>
  <c r="G189" i="53"/>
  <c r="G185" i="53"/>
  <c r="G184" i="53"/>
  <c r="G183" i="53"/>
  <c r="G182" i="53"/>
  <c r="G181" i="53"/>
  <c r="G180" i="53"/>
  <c r="G179" i="53"/>
  <c r="G186" i="53" s="1"/>
  <c r="B186" i="53" s="1"/>
  <c r="G178" i="53"/>
  <c r="G177" i="53"/>
  <c r="G176" i="53"/>
  <c r="G172" i="53"/>
  <c r="G171" i="53"/>
  <c r="G170" i="53"/>
  <c r="G169" i="53"/>
  <c r="G168" i="53"/>
  <c r="G167" i="53"/>
  <c r="G166" i="53"/>
  <c r="G165" i="53"/>
  <c r="G164" i="53"/>
  <c r="G163" i="53"/>
  <c r="G162" i="53"/>
  <c r="G161" i="53"/>
  <c r="G160" i="53"/>
  <c r="G173" i="53" s="1"/>
  <c r="B173" i="53" s="1"/>
  <c r="G156" i="53"/>
  <c r="G155" i="53"/>
  <c r="G154" i="53"/>
  <c r="G153" i="53"/>
  <c r="G152" i="53"/>
  <c r="G151" i="53"/>
  <c r="G150" i="53"/>
  <c r="G149" i="53"/>
  <c r="G148" i="53"/>
  <c r="G147" i="53"/>
  <c r="G146" i="53"/>
  <c r="G157" i="53" s="1"/>
  <c r="B157" i="53" s="1"/>
  <c r="G142" i="53"/>
  <c r="G141" i="53"/>
  <c r="G140" i="53"/>
  <c r="G139" i="53"/>
  <c r="G138" i="53"/>
  <c r="G137" i="53"/>
  <c r="G136" i="53"/>
  <c r="G135" i="53"/>
  <c r="G134" i="53"/>
  <c r="G133" i="53"/>
  <c r="G132" i="53"/>
  <c r="G143" i="53" s="1"/>
  <c r="B143" i="53" s="1"/>
  <c r="G128" i="53"/>
  <c r="G127" i="53"/>
  <c r="G126" i="53"/>
  <c r="G125" i="53"/>
  <c r="G124" i="53"/>
  <c r="G123" i="53"/>
  <c r="G122" i="53"/>
  <c r="G121" i="53"/>
  <c r="G120" i="53"/>
  <c r="G119" i="53"/>
  <c r="G118" i="53"/>
  <c r="G117" i="53"/>
  <c r="G116" i="53"/>
  <c r="G112" i="53"/>
  <c r="G111" i="53"/>
  <c r="G110" i="53"/>
  <c r="G109" i="53"/>
  <c r="G108" i="53"/>
  <c r="G107" i="53"/>
  <c r="G106" i="53"/>
  <c r="G105" i="53"/>
  <c r="G104" i="53"/>
  <c r="G103" i="53"/>
  <c r="G102" i="53"/>
  <c r="G101" i="53"/>
  <c r="G113" i="53" s="1"/>
  <c r="B113" i="53" s="1"/>
  <c r="G100" i="53"/>
  <c r="G96" i="53"/>
  <c r="G95" i="53"/>
  <c r="G94" i="53"/>
  <c r="G93" i="53"/>
  <c r="G92" i="53"/>
  <c r="G91" i="53"/>
  <c r="G90" i="53"/>
  <c r="G89" i="53"/>
  <c r="G88" i="53"/>
  <c r="G87" i="53"/>
  <c r="G86" i="53"/>
  <c r="G85" i="53"/>
  <c r="G97" i="53" s="1"/>
  <c r="B97" i="53" s="1"/>
  <c r="G84" i="53"/>
  <c r="G80" i="53"/>
  <c r="G79" i="53"/>
  <c r="G78" i="53"/>
  <c r="G77" i="53"/>
  <c r="G76" i="53"/>
  <c r="G75" i="53"/>
  <c r="G74" i="53"/>
  <c r="G73" i="53"/>
  <c r="G72" i="53"/>
  <c r="G71" i="53"/>
  <c r="G70" i="53"/>
  <c r="G69" i="53"/>
  <c r="G81" i="53" s="1"/>
  <c r="B81" i="53" s="1"/>
  <c r="G68" i="53"/>
  <c r="G67" i="53"/>
  <c r="G63" i="53"/>
  <c r="G62" i="53"/>
  <c r="G61" i="53"/>
  <c r="G60" i="53"/>
  <c r="G59" i="53"/>
  <c r="G58" i="53"/>
  <c r="G57" i="53"/>
  <c r="G56" i="53"/>
  <c r="G55" i="53"/>
  <c r="G54" i="53"/>
  <c r="G53" i="53"/>
  <c r="G64" i="53" s="1"/>
  <c r="B64" i="53" s="1"/>
  <c r="G52" i="53"/>
  <c r="G48" i="53"/>
  <c r="G47" i="53"/>
  <c r="G46" i="53"/>
  <c r="G45" i="53"/>
  <c r="G44" i="53"/>
  <c r="G43" i="53"/>
  <c r="G42" i="53"/>
  <c r="G41" i="53"/>
  <c r="G40" i="53"/>
  <c r="G39" i="53"/>
  <c r="G38" i="53"/>
  <c r="G49" i="53" s="1"/>
  <c r="B49" i="53" s="1"/>
  <c r="G34" i="53"/>
  <c r="G33" i="53"/>
  <c r="G32" i="53"/>
  <c r="G31" i="53"/>
  <c r="G30" i="53"/>
  <c r="G29" i="53"/>
  <c r="G28" i="53"/>
  <c r="G27" i="53"/>
  <c r="G26" i="53"/>
  <c r="G25" i="53"/>
  <c r="G24" i="53"/>
  <c r="G23" i="53"/>
  <c r="G22" i="53"/>
  <c r="G35" i="53" s="1"/>
  <c r="B35" i="53" s="1"/>
  <c r="C20" i="53"/>
  <c r="C36" i="53" s="1"/>
  <c r="C50" i="53" s="1"/>
  <c r="C65" i="53" s="1"/>
  <c r="C82" i="53" s="1"/>
  <c r="C98" i="53" s="1"/>
  <c r="C114" i="53" s="1"/>
  <c r="C130" i="53" s="1"/>
  <c r="C144" i="53" s="1"/>
  <c r="C158" i="53" s="1"/>
  <c r="C174" i="53" s="1"/>
  <c r="C187" i="53" s="1"/>
  <c r="C200" i="53" s="1"/>
  <c r="C217" i="53" s="1"/>
  <c r="C231" i="53" s="1"/>
  <c r="C245" i="53" s="1"/>
  <c r="C258" i="53" s="1"/>
  <c r="C271" i="53" s="1"/>
  <c r="C288" i="53" s="1"/>
  <c r="C305" i="53" s="1"/>
  <c r="C318" i="53" s="1"/>
  <c r="C332" i="53" s="1"/>
  <c r="C346" i="53" s="1"/>
  <c r="C363" i="53" s="1"/>
  <c r="C380" i="53" s="1"/>
  <c r="C395" i="53" s="1"/>
  <c r="C412" i="53" s="1"/>
  <c r="C426" i="53" s="1"/>
  <c r="C440" i="53" s="1"/>
  <c r="C451" i="53" s="1"/>
  <c r="G18" i="53"/>
  <c r="G17" i="53"/>
  <c r="G16" i="53"/>
  <c r="G15" i="53"/>
  <c r="G14" i="53"/>
  <c r="G13" i="53"/>
  <c r="G12" i="53"/>
  <c r="G11" i="53"/>
  <c r="G10" i="53"/>
  <c r="G9" i="53"/>
  <c r="G8" i="53"/>
  <c r="G7" i="53"/>
  <c r="I2" i="53"/>
  <c r="G19" i="53" l="1"/>
  <c r="B19" i="53" s="1"/>
  <c r="G257" i="53"/>
  <c r="B257" i="53" s="1"/>
  <c r="G287" i="53"/>
  <c r="B287" i="53" s="1"/>
  <c r="G304" i="53"/>
  <c r="B304" i="53" s="1"/>
  <c r="G317" i="53"/>
  <c r="B317" i="53" s="1"/>
  <c r="G331" i="53"/>
  <c r="B331" i="53" s="1"/>
  <c r="G67" i="54"/>
  <c r="B67" i="54" s="1"/>
  <c r="G52" i="54"/>
  <c r="B52" i="54" s="1"/>
  <c r="G38" i="54"/>
  <c r="B38" i="54" s="1"/>
  <c r="G19" i="54"/>
  <c r="B19" i="54" s="1"/>
  <c r="G458" i="53"/>
  <c r="B458" i="53" s="1"/>
  <c r="G450" i="53"/>
  <c r="B450" i="53" s="1"/>
  <c r="B439" i="53"/>
  <c r="G129" i="53"/>
  <c r="B129" i="53" s="1"/>
  <c r="G230" i="53"/>
  <c r="B230" i="53" s="1"/>
  <c r="B425" i="53"/>
  <c r="G411" i="53"/>
  <c r="B411" i="53" s="1"/>
  <c r="B394" i="53"/>
  <c r="G379" i="53"/>
  <c r="B379" i="53" s="1"/>
  <c r="G362" i="53"/>
  <c r="B362" i="53" s="1"/>
  <c r="G345" i="53"/>
  <c r="B345" i="53" s="1"/>
  <c r="G1" i="54" l="1"/>
  <c r="D1" i="54"/>
  <c r="K1" i="54" s="1"/>
  <c r="D1" i="53"/>
  <c r="K1" i="53" s="1"/>
  <c r="G1" i="53"/>
</calcChain>
</file>

<file path=xl/sharedStrings.xml><?xml version="1.0" encoding="utf-8"?>
<sst xmlns="http://schemas.openxmlformats.org/spreadsheetml/2006/main" count="584" uniqueCount="17">
  <si>
    <t>N° commande</t>
  </si>
  <si>
    <t>Nom prénom</t>
  </si>
  <si>
    <t>CA</t>
  </si>
  <si>
    <t>Coût</t>
  </si>
  <si>
    <t>NET</t>
  </si>
  <si>
    <t>Total journée:</t>
  </si>
  <si>
    <t>Recap Mensuel :</t>
  </si>
  <si>
    <t>Détails par jour ci-dessous :</t>
  </si>
  <si>
    <t>Moy. J :</t>
  </si>
  <si>
    <t xml:space="preserve">CA </t>
  </si>
  <si>
    <t>Cout Pub</t>
  </si>
  <si>
    <t>Frais Shopify</t>
  </si>
  <si>
    <t>Résultat Net</t>
  </si>
  <si>
    <t>PUB</t>
  </si>
  <si>
    <t>CA Shopify</t>
  </si>
  <si>
    <t>Frais Site + Appli</t>
  </si>
  <si>
    <t>Frais site + Appli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</si>
</sst>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-F800]dddd\,\ mmmm\ dd\,\ yyyy"/>
    <numFmt numFmtId="166" formatCode="#,##0.00\ &quot;€&quot;"/>
  </numFmts>
  <fonts count="5" x14ac:knownFonts="1">
    <font>
      <sz val="11"/>
      <color rgb="FF000000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9CC2E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0" xfId="0" applyNumberFormat="1"/>
    <xf numFmtId="2" fontId="4" fillId="0" borderId="0" xfId="0" applyNumberFormat="1" applyFont="1"/>
    <xf numFmtId="2" fontId="4" fillId="0" borderId="0" xfId="0" applyNumberFormat="1" applyFont="1" applyAlignment="1">
      <alignment horizontal="center"/>
    </xf>
    <xf numFmtId="2" fontId="4" fillId="0" borderId="6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6" xfId="0" applyNumberFormat="1" applyFont="1" applyBorder="1" applyAlignment="1">
      <alignment horizontal="center"/>
    </xf>
    <xf numFmtId="2" fontId="0" fillId="0" borderId="8" xfId="0" applyNumberFormat="1" applyBorder="1"/>
    <xf numFmtId="2" fontId="0" fillId="0" borderId="8" xfId="0" applyNumberFormat="1" applyBorder="1" applyAlignment="1">
      <alignment horizontal="right"/>
    </xf>
    <xf numFmtId="2" fontId="0" fillId="0" borderId="9" xfId="0" applyNumberFormat="1" applyBorder="1"/>
    <xf numFmtId="2" fontId="0" fillId="3" borderId="0" xfId="0" applyNumberFormat="1" applyFill="1"/>
    <xf numFmtId="164" fontId="2" fillId="0" borderId="10" xfId="0" applyNumberFormat="1" applyFont="1" applyBorder="1"/>
    <xf numFmtId="2" fontId="0" fillId="2" borderId="0" xfId="0" applyNumberFormat="1" applyFill="1"/>
    <xf numFmtId="2" fontId="3" fillId="2" borderId="0" xfId="0" applyNumberFormat="1" applyFont="1" applyFill="1"/>
    <xf numFmtId="1" fontId="1" fillId="2" borderId="1" xfId="0" applyNumberFormat="1" applyFont="1" applyFill="1" applyBorder="1"/>
    <xf numFmtId="164" fontId="2" fillId="2" borderId="0" xfId="0" applyNumberFormat="1" applyFont="1" applyFill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64" fontId="2" fillId="0" borderId="0" xfId="0" applyNumberFormat="1" applyFont="1"/>
    <xf numFmtId="166" fontId="0" fillId="2" borderId="0" xfId="0" applyNumberFormat="1" applyFill="1" applyAlignment="1">
      <alignment horizontal="center"/>
    </xf>
    <xf numFmtId="166" fontId="0" fillId="2" borderId="0" xfId="0" applyNumberFormat="1" applyFill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2" fontId="0" fillId="0" borderId="8" xfId="0" applyNumberFormat="1" applyBorder="1" applyAlignment="1">
      <alignment horizontal="right"/>
    </xf>
    <xf numFmtId="2" fontId="0" fillId="0" borderId="9" xfId="0" applyNumberFormat="1" applyBorder="1"/>
    <xf numFmtId="0" fontId="4" fillId="0" borderId="5" xfId="0" applyFont="1" applyBorder="1"/>
    <xf numFmtId="0" fontId="0" fillId="3" borderId="0" xfId="0" applyFill="1"/>
    <xf numFmtId="0" fontId="1" fillId="2" borderId="1" xfId="0" applyFont="1" applyFill="1" applyBorder="1"/>
    <xf numFmtId="0" fontId="0" fillId="2" borderId="0" xfId="0" applyFill="1"/>
    <xf numFmtId="0" fontId="0" fillId="0" borderId="7" xfId="0" applyBorder="1"/>
    <xf numFmtId="0" fontId="0" fillId="0" borderId="7" xfId="0" applyBorder="1"/>
    <xf numFmtId="0" fontId="0" fillId="0" borderId="0" xfId="0"/>
    <xf numFmtId="2" fontId="4" fillId="0" borderId="0" xfId="0" applyNumberFormat="1" applyFont="1" applyAlignment="1">
      <alignment horizontal="right"/>
    </xf>
    <xf numFmtId="2" fontId="0" fillId="0" borderId="0" xfId="0" applyNumberFormat="1" applyFont="1" applyAlignment="1">
      <alignment horizontal="center"/>
    </xf>
    <xf numFmtId="0" fontId="4" fillId="0" borderId="5" xfId="0" applyFont="1" applyBorder="1" applyAlignment="1">
      <alignment horizontal="right"/>
    </xf>
    <xf numFmtId="166" fontId="2" fillId="2" borderId="0" xfId="0" applyNumberFormat="1" applyFont="1" applyFill="1" applyAlignment="1">
      <alignment horizontal="center" vertic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C126-A1EB-7D4D-9488-03B1346954D9}">
  <sheetPr codeName="Feuil2"/>
  <dimension ref="A1:AD458"/>
  <sheetViews>
    <sheetView tabSelected="1" zoomScale="132" workbookViewId="0">
      <pane ySplit="4" topLeftCell="A256" activePane="bottomLeft" state="frozen"/>
      <selection activeCell="G2" sqref="G2"/>
      <selection pane="bottomLeft" activeCell="F338" sqref="C334:F338"/>
    </sheetView>
  </sheetViews>
  <sheetFormatPr baseColWidth="10" defaultColWidth="11.5" defaultRowHeight="15" x14ac:dyDescent="0.2"/>
  <cols>
    <col min="1" max="1" width="11.5" style="12" customWidth="1"/>
    <col min="2" max="2" width="11.5" style="13" customWidth="1"/>
    <col min="3" max="3" width="18.33203125" style="31" customWidth="1"/>
    <col min="4" max="4" width="20.83203125" style="1" customWidth="1"/>
    <col min="5" max="6" width="11.5" style="1" customWidth="1"/>
    <col min="7" max="7" width="18.33203125" style="1" bestFit="1" customWidth="1"/>
    <col min="8" max="8" width="13.83203125" style="12" customWidth="1"/>
    <col min="9" max="9" width="11.33203125" style="12" customWidth="1"/>
    <col min="10" max="10" width="11" style="12" bestFit="1" customWidth="1"/>
    <col min="11" max="11" width="9" style="12" bestFit="1" customWidth="1"/>
    <col min="12" max="12" width="7.6640625" style="12" bestFit="1" customWidth="1"/>
    <col min="13" max="13" width="4.5" style="12" customWidth="1"/>
    <col min="14" max="30" width="11.5" style="12" customWidth="1"/>
    <col min="31" max="31" width="11.5" style="1" customWidth="1"/>
    <col min="32" max="16384" width="11.5" style="1"/>
  </cols>
  <sheetData>
    <row r="1" spans="3:12" x14ac:dyDescent="0.2">
      <c r="C1" s="26" t="s">
        <v>6</v>
      </c>
      <c r="D1" s="11">
        <f>SUM(B:B)</f>
        <v>0</v>
      </c>
      <c r="E1" s="12"/>
      <c r="F1" s="10" t="s">
        <v>8</v>
      </c>
      <c r="G1" s="15">
        <f>IFERROR(SUM(B:B)/COUNTIF(B:B,"&gt;0"),0)</f>
        <v>0</v>
      </c>
      <c r="H1" s="10" t="s">
        <v>15</v>
      </c>
      <c r="I1" s="19">
        <v>0</v>
      </c>
      <c r="J1" s="10"/>
      <c r="K1" s="35">
        <f>D1-D2-I2-I1</f>
        <v>0</v>
      </c>
    </row>
    <row r="2" spans="3:12" x14ac:dyDescent="0.2">
      <c r="C2" s="26" t="s">
        <v>10</v>
      </c>
      <c r="D2" s="18"/>
      <c r="E2" s="12"/>
      <c r="F2" s="10" t="s">
        <v>14</v>
      </c>
      <c r="G2" s="15"/>
      <c r="H2" s="10" t="s">
        <v>11</v>
      </c>
      <c r="I2" s="19">
        <f>2/100*G2</f>
        <v>0</v>
      </c>
      <c r="J2" s="10" t="s">
        <v>12</v>
      </c>
      <c r="K2" s="35"/>
      <c r="L2" s="20"/>
    </row>
    <row r="3" spans="3:12" ht="33" customHeight="1" thickBot="1" x14ac:dyDescent="0.25">
      <c r="C3" s="27" t="s">
        <v>7</v>
      </c>
      <c r="D3" s="14"/>
      <c r="E3" s="14"/>
      <c r="F3" s="14"/>
      <c r="G3" s="14"/>
    </row>
    <row r="4" spans="3:12" ht="0" hidden="1" customHeight="1" x14ac:dyDescent="0.2">
      <c r="C4" s="28"/>
      <c r="D4" s="12"/>
      <c r="E4" s="12"/>
      <c r="F4" s="12"/>
      <c r="G4" s="12"/>
    </row>
    <row r="5" spans="3:12" x14ac:dyDescent="0.2">
      <c r="C5" s="36">
        <v>44013</v>
      </c>
      <c r="D5" s="37"/>
      <c r="E5" s="37"/>
      <c r="F5" s="37"/>
      <c r="G5" s="38"/>
    </row>
    <row r="6" spans="3:12" x14ac:dyDescent="0.2">
      <c r="C6" s="25" t="s">
        <v>0</v>
      </c>
      <c r="D6" s="2" t="s">
        <v>1</v>
      </c>
      <c r="E6" s="3" t="s">
        <v>2</v>
      </c>
      <c r="F6" s="3" t="s">
        <v>3</v>
      </c>
      <c r="G6" s="4" t="s">
        <v>4</v>
      </c>
    </row>
    <row r="7" spans="3:12" x14ac:dyDescent="0.2">
      <c r="C7" s="25"/>
      <c r="D7" s="2"/>
      <c r="E7" s="5"/>
      <c r="F7" s="5"/>
      <c r="G7" s="6" t="str">
        <f t="shared" ref="G7:G18" si="0">IF(ISBLANK(E7),"",(E7-F7-(E7*0.014+0.25)))</f>
        <v/>
      </c>
    </row>
    <row r="8" spans="3:12" x14ac:dyDescent="0.2">
      <c r="C8" s="25"/>
      <c r="D8" s="2"/>
      <c r="E8" s="5"/>
      <c r="F8" s="5"/>
      <c r="G8" s="6" t="str">
        <f t="shared" si="0"/>
        <v/>
      </c>
    </row>
    <row r="9" spans="3:12" x14ac:dyDescent="0.2">
      <c r="C9" s="25"/>
      <c r="D9" s="2"/>
      <c r="E9" s="5"/>
      <c r="F9" s="5"/>
      <c r="G9" s="6" t="str">
        <f t="shared" si="0"/>
        <v/>
      </c>
    </row>
    <row r="10" spans="3:12" x14ac:dyDescent="0.2">
      <c r="C10" s="25"/>
      <c r="D10" s="2"/>
      <c r="E10" s="5"/>
      <c r="F10" s="5"/>
      <c r="G10" s="6" t="str">
        <f t="shared" si="0"/>
        <v/>
      </c>
    </row>
    <row r="11" spans="3:12" x14ac:dyDescent="0.2">
      <c r="C11" s="25"/>
      <c r="D11" s="2"/>
      <c r="E11" s="5"/>
      <c r="F11" s="5"/>
      <c r="G11" s="6" t="str">
        <f t="shared" si="0"/>
        <v/>
      </c>
    </row>
    <row r="12" spans="3:12" x14ac:dyDescent="0.2">
      <c r="C12" s="25"/>
      <c r="D12" s="2"/>
      <c r="E12" s="5"/>
      <c r="F12" s="5"/>
      <c r="G12" s="6" t="str">
        <f t="shared" si="0"/>
        <v/>
      </c>
    </row>
    <row r="13" spans="3:12" x14ac:dyDescent="0.2">
      <c r="C13" s="25"/>
      <c r="D13" s="2"/>
      <c r="E13" s="5"/>
      <c r="F13" s="5"/>
      <c r="G13" s="6" t="str">
        <f t="shared" si="0"/>
        <v/>
      </c>
    </row>
    <row r="14" spans="3:12" x14ac:dyDescent="0.2">
      <c r="C14" s="25"/>
      <c r="D14" s="2"/>
      <c r="E14" s="5"/>
      <c r="F14" s="5"/>
      <c r="G14" s="6" t="str">
        <f t="shared" si="0"/>
        <v/>
      </c>
    </row>
    <row r="15" spans="3:12" x14ac:dyDescent="0.2">
      <c r="C15" s="25"/>
      <c r="D15" s="2"/>
      <c r="E15" s="5"/>
      <c r="F15" s="5"/>
      <c r="G15" s="6" t="str">
        <f t="shared" si="0"/>
        <v/>
      </c>
    </row>
    <row r="16" spans="3:12" x14ac:dyDescent="0.2">
      <c r="C16" s="25"/>
      <c r="D16" s="2"/>
      <c r="E16" s="5"/>
      <c r="F16" s="5"/>
      <c r="G16" s="6" t="str">
        <f t="shared" si="0"/>
        <v/>
      </c>
    </row>
    <row r="17" spans="2:7" x14ac:dyDescent="0.2">
      <c r="C17" s="25"/>
      <c r="D17" s="2"/>
      <c r="E17" s="5"/>
      <c r="F17" s="5"/>
      <c r="G17" s="6" t="str">
        <f t="shared" si="0"/>
        <v/>
      </c>
    </row>
    <row r="18" spans="2:7" x14ac:dyDescent="0.2">
      <c r="C18" s="25"/>
      <c r="D18" s="2"/>
      <c r="E18" s="5"/>
      <c r="F18" s="5"/>
      <c r="G18" s="6" t="str">
        <f t="shared" si="0"/>
        <v/>
      </c>
    </row>
    <row r="19" spans="2:7" x14ac:dyDescent="0.2">
      <c r="B19" s="13">
        <f>G19</f>
        <v>0</v>
      </c>
      <c r="C19" s="29"/>
      <c r="D19" s="7"/>
      <c r="E19" s="7"/>
      <c r="F19" s="8" t="s">
        <v>5</v>
      </c>
      <c r="G19" s="9">
        <f>SUM(G7:G18)</f>
        <v>0</v>
      </c>
    </row>
    <row r="20" spans="2:7" x14ac:dyDescent="0.2">
      <c r="C20" s="36">
        <f>C5+1</f>
        <v>44014</v>
      </c>
      <c r="D20" s="37"/>
      <c r="E20" s="37"/>
      <c r="F20" s="37"/>
      <c r="G20" s="38"/>
    </row>
    <row r="21" spans="2:7" x14ac:dyDescent="0.2">
      <c r="C21" s="25" t="s">
        <v>0</v>
      </c>
      <c r="D21" s="2" t="s">
        <v>1</v>
      </c>
      <c r="E21" s="3" t="s">
        <v>2</v>
      </c>
      <c r="F21" s="3" t="s">
        <v>3</v>
      </c>
      <c r="G21" s="4" t="s">
        <v>4</v>
      </c>
    </row>
    <row r="22" spans="2:7" x14ac:dyDescent="0.2">
      <c r="C22" s="25"/>
      <c r="D22" s="2"/>
      <c r="E22" s="5"/>
      <c r="F22" s="5"/>
      <c r="G22" s="6" t="str">
        <f t="shared" ref="G22:G34" si="1">IF(ISBLANK(E22),"",(E22-F22-(E22*0.014+0.25)))</f>
        <v/>
      </c>
    </row>
    <row r="23" spans="2:7" x14ac:dyDescent="0.2">
      <c r="C23" s="25"/>
      <c r="D23" s="2"/>
      <c r="E23" s="5"/>
      <c r="F23" s="5"/>
      <c r="G23" s="6" t="str">
        <f t="shared" si="1"/>
        <v/>
      </c>
    </row>
    <row r="24" spans="2:7" x14ac:dyDescent="0.2">
      <c r="C24" s="25"/>
      <c r="D24" s="2"/>
      <c r="E24" s="5"/>
      <c r="F24" s="5"/>
      <c r="G24" s="6" t="str">
        <f t="shared" si="1"/>
        <v/>
      </c>
    </row>
    <row r="25" spans="2:7" x14ac:dyDescent="0.2">
      <c r="C25" s="25"/>
      <c r="D25" s="2"/>
      <c r="E25" s="5"/>
      <c r="F25" s="5"/>
      <c r="G25" s="6" t="str">
        <f t="shared" si="1"/>
        <v/>
      </c>
    </row>
    <row r="26" spans="2:7" x14ac:dyDescent="0.2">
      <c r="C26" s="25"/>
      <c r="D26" s="2"/>
      <c r="E26" s="5"/>
      <c r="F26" s="5"/>
      <c r="G26" s="6" t="str">
        <f t="shared" si="1"/>
        <v/>
      </c>
    </row>
    <row r="27" spans="2:7" x14ac:dyDescent="0.2">
      <c r="C27" s="25"/>
      <c r="D27" s="2"/>
      <c r="E27" s="5"/>
      <c r="F27" s="5"/>
      <c r="G27" s="6" t="str">
        <f t="shared" si="1"/>
        <v/>
      </c>
    </row>
    <row r="28" spans="2:7" x14ac:dyDescent="0.2">
      <c r="C28" s="25"/>
      <c r="D28" s="2"/>
      <c r="E28" s="5"/>
      <c r="F28" s="5"/>
      <c r="G28" s="6" t="str">
        <f t="shared" si="1"/>
        <v/>
      </c>
    </row>
    <row r="29" spans="2:7" x14ac:dyDescent="0.2">
      <c r="C29" s="25"/>
      <c r="D29" s="2"/>
      <c r="E29" s="5"/>
      <c r="F29" s="5"/>
      <c r="G29" s="6" t="str">
        <f t="shared" si="1"/>
        <v/>
      </c>
    </row>
    <row r="30" spans="2:7" x14ac:dyDescent="0.2">
      <c r="C30" s="25"/>
      <c r="D30" s="2"/>
      <c r="E30" s="5"/>
      <c r="F30" s="5"/>
      <c r="G30" s="6" t="str">
        <f t="shared" si="1"/>
        <v/>
      </c>
    </row>
    <row r="31" spans="2:7" x14ac:dyDescent="0.2">
      <c r="C31" s="25"/>
      <c r="D31" s="2"/>
      <c r="E31" s="5"/>
      <c r="F31" s="5"/>
      <c r="G31" s="6" t="str">
        <f t="shared" si="1"/>
        <v/>
      </c>
    </row>
    <row r="32" spans="2:7" x14ac:dyDescent="0.2">
      <c r="C32" s="25"/>
      <c r="D32" s="2"/>
      <c r="E32" s="5"/>
      <c r="F32" s="5"/>
      <c r="G32" s="6" t="str">
        <f t="shared" si="1"/>
        <v/>
      </c>
    </row>
    <row r="33" spans="2:7" x14ac:dyDescent="0.2">
      <c r="C33" s="25"/>
      <c r="D33" s="2"/>
      <c r="E33" s="5"/>
      <c r="F33" s="5"/>
      <c r="G33" s="6" t="str">
        <f t="shared" si="1"/>
        <v/>
      </c>
    </row>
    <row r="34" spans="2:7" x14ac:dyDescent="0.2">
      <c r="C34" s="25"/>
      <c r="D34" s="2"/>
      <c r="E34" s="5"/>
      <c r="F34" s="5"/>
      <c r="G34" s="6" t="str">
        <f t="shared" si="1"/>
        <v/>
      </c>
    </row>
    <row r="35" spans="2:7" x14ac:dyDescent="0.2">
      <c r="B35" s="13">
        <f>G35</f>
        <v>0</v>
      </c>
      <c r="C35" s="29"/>
      <c r="D35" s="7"/>
      <c r="E35" s="7"/>
      <c r="F35" s="8" t="s">
        <v>5</v>
      </c>
      <c r="G35" s="9">
        <f>SUM(G22:G34)</f>
        <v>0</v>
      </c>
    </row>
    <row r="36" spans="2:7" x14ac:dyDescent="0.2">
      <c r="C36" s="36">
        <f>C20+1</f>
        <v>44015</v>
      </c>
      <c r="D36" s="37"/>
      <c r="E36" s="37"/>
      <c r="F36" s="37"/>
      <c r="G36" s="38"/>
    </row>
    <row r="37" spans="2:7" x14ac:dyDescent="0.2">
      <c r="C37" s="25" t="s">
        <v>0</v>
      </c>
      <c r="D37" s="2" t="s">
        <v>1</v>
      </c>
      <c r="E37" s="3" t="s">
        <v>2</v>
      </c>
      <c r="F37" s="3" t="s">
        <v>3</v>
      </c>
      <c r="G37" s="4" t="s">
        <v>4</v>
      </c>
    </row>
    <row r="38" spans="2:7" x14ac:dyDescent="0.2">
      <c r="C38" s="25"/>
      <c r="D38" s="2"/>
      <c r="E38" s="5"/>
      <c r="F38" s="5"/>
      <c r="G38" s="6" t="str">
        <f t="shared" ref="G38:G48" si="2">IF(ISBLANK(E38),"",(E38-F38-(E38*0.014+0.25)))</f>
        <v/>
      </c>
    </row>
    <row r="39" spans="2:7" x14ac:dyDescent="0.2">
      <c r="C39" s="25"/>
      <c r="D39" s="2"/>
      <c r="E39" s="5"/>
      <c r="F39" s="5"/>
      <c r="G39" s="6" t="str">
        <f t="shared" si="2"/>
        <v/>
      </c>
    </row>
    <row r="40" spans="2:7" x14ac:dyDescent="0.2">
      <c r="C40" s="25"/>
      <c r="D40" s="2"/>
      <c r="E40" s="5"/>
      <c r="F40" s="5"/>
      <c r="G40" s="6" t="str">
        <f t="shared" si="2"/>
        <v/>
      </c>
    </row>
    <row r="41" spans="2:7" x14ac:dyDescent="0.2">
      <c r="C41" s="25"/>
      <c r="D41" s="2"/>
      <c r="E41" s="5"/>
      <c r="F41" s="5"/>
      <c r="G41" s="6" t="str">
        <f t="shared" si="2"/>
        <v/>
      </c>
    </row>
    <row r="42" spans="2:7" x14ac:dyDescent="0.2">
      <c r="C42" s="25"/>
      <c r="D42" s="2"/>
      <c r="E42" s="5"/>
      <c r="F42" s="5"/>
      <c r="G42" s="6" t="str">
        <f t="shared" si="2"/>
        <v/>
      </c>
    </row>
    <row r="43" spans="2:7" x14ac:dyDescent="0.2">
      <c r="C43" s="25"/>
      <c r="D43" s="2"/>
      <c r="E43" s="5"/>
      <c r="F43" s="5"/>
      <c r="G43" s="6" t="str">
        <f t="shared" si="2"/>
        <v/>
      </c>
    </row>
    <row r="44" spans="2:7" x14ac:dyDescent="0.2">
      <c r="C44" s="25"/>
      <c r="D44" s="2"/>
      <c r="E44" s="5"/>
      <c r="F44" s="5"/>
      <c r="G44" s="6" t="str">
        <f t="shared" si="2"/>
        <v/>
      </c>
    </row>
    <row r="45" spans="2:7" x14ac:dyDescent="0.2">
      <c r="C45" s="25"/>
      <c r="D45" s="2"/>
      <c r="E45" s="5"/>
      <c r="F45" s="5"/>
      <c r="G45" s="6" t="str">
        <f t="shared" si="2"/>
        <v/>
      </c>
    </row>
    <row r="46" spans="2:7" x14ac:dyDescent="0.2">
      <c r="C46" s="25"/>
      <c r="D46" s="2"/>
      <c r="E46" s="5"/>
      <c r="F46" s="5"/>
      <c r="G46" s="6" t="str">
        <f t="shared" si="2"/>
        <v/>
      </c>
    </row>
    <row r="47" spans="2:7" x14ac:dyDescent="0.2">
      <c r="C47" s="25"/>
      <c r="D47" s="2"/>
      <c r="E47" s="5"/>
      <c r="F47" s="5"/>
      <c r="G47" s="6" t="str">
        <f t="shared" si="2"/>
        <v/>
      </c>
    </row>
    <row r="48" spans="2:7" x14ac:dyDescent="0.2">
      <c r="C48" s="25"/>
      <c r="D48" s="2"/>
      <c r="E48" s="5"/>
      <c r="F48" s="5"/>
      <c r="G48" s="6" t="str">
        <f t="shared" si="2"/>
        <v/>
      </c>
    </row>
    <row r="49" spans="2:7" x14ac:dyDescent="0.2">
      <c r="B49" s="13">
        <f>G49</f>
        <v>0</v>
      </c>
      <c r="C49" s="29"/>
      <c r="D49" s="7"/>
      <c r="E49" s="7"/>
      <c r="F49" s="8" t="s">
        <v>5</v>
      </c>
      <c r="G49" s="9">
        <f>SUM(G38:G48)</f>
        <v>0</v>
      </c>
    </row>
    <row r="50" spans="2:7" x14ac:dyDescent="0.2">
      <c r="C50" s="36">
        <f>C36+1</f>
        <v>44016</v>
      </c>
      <c r="D50" s="37"/>
      <c r="E50" s="37"/>
      <c r="F50" s="37"/>
      <c r="G50" s="38"/>
    </row>
    <row r="51" spans="2:7" x14ac:dyDescent="0.2">
      <c r="C51" s="25" t="s">
        <v>0</v>
      </c>
      <c r="D51" s="2" t="s">
        <v>1</v>
      </c>
      <c r="E51" s="3" t="s">
        <v>2</v>
      </c>
      <c r="F51" s="3" t="s">
        <v>3</v>
      </c>
      <c r="G51" s="4" t="s">
        <v>4</v>
      </c>
    </row>
    <row r="52" spans="2:7" x14ac:dyDescent="0.2">
      <c r="C52" s="25"/>
      <c r="D52" s="2"/>
      <c r="E52" s="5"/>
      <c r="F52" s="5"/>
      <c r="G52" s="6" t="str">
        <f t="shared" ref="G52:G63" si="3">IF(ISBLANK(E52),"",(E52-F52-(E52*0.014+0.25)))</f>
        <v/>
      </c>
    </row>
    <row r="53" spans="2:7" x14ac:dyDescent="0.2">
      <c r="C53" s="25"/>
      <c r="D53" s="2"/>
      <c r="E53" s="5"/>
      <c r="F53" s="5"/>
      <c r="G53" s="6" t="str">
        <f t="shared" si="3"/>
        <v/>
      </c>
    </row>
    <row r="54" spans="2:7" x14ac:dyDescent="0.2">
      <c r="C54" s="25"/>
      <c r="D54" s="2"/>
      <c r="E54" s="5"/>
      <c r="F54" s="5"/>
      <c r="G54" s="6" t="str">
        <f t="shared" si="3"/>
        <v/>
      </c>
    </row>
    <row r="55" spans="2:7" x14ac:dyDescent="0.2">
      <c r="C55" s="25"/>
      <c r="D55" s="2"/>
      <c r="E55" s="5"/>
      <c r="F55" s="5"/>
      <c r="G55" s="6" t="str">
        <f t="shared" si="3"/>
        <v/>
      </c>
    </row>
    <row r="56" spans="2:7" x14ac:dyDescent="0.2">
      <c r="C56" s="25"/>
      <c r="D56" s="2"/>
      <c r="E56" s="5"/>
      <c r="F56" s="5"/>
      <c r="G56" s="6" t="str">
        <f t="shared" si="3"/>
        <v/>
      </c>
    </row>
    <row r="57" spans="2:7" x14ac:dyDescent="0.2">
      <c r="C57" s="25"/>
      <c r="D57" s="2"/>
      <c r="E57" s="5"/>
      <c r="F57" s="5"/>
      <c r="G57" s="6" t="str">
        <f t="shared" si="3"/>
        <v/>
      </c>
    </row>
    <row r="58" spans="2:7" x14ac:dyDescent="0.2">
      <c r="C58" s="25"/>
      <c r="D58" s="2"/>
      <c r="E58" s="5"/>
      <c r="F58" s="5"/>
      <c r="G58" s="6" t="str">
        <f t="shared" si="3"/>
        <v/>
      </c>
    </row>
    <row r="59" spans="2:7" x14ac:dyDescent="0.2">
      <c r="C59" s="25"/>
      <c r="D59" s="2"/>
      <c r="E59" s="5"/>
      <c r="F59" s="5"/>
      <c r="G59" s="6" t="str">
        <f t="shared" si="3"/>
        <v/>
      </c>
    </row>
    <row r="60" spans="2:7" x14ac:dyDescent="0.2">
      <c r="C60" s="25"/>
      <c r="D60" s="2"/>
      <c r="E60" s="5"/>
      <c r="F60" s="5"/>
      <c r="G60" s="6" t="str">
        <f t="shared" si="3"/>
        <v/>
      </c>
    </row>
    <row r="61" spans="2:7" x14ac:dyDescent="0.2">
      <c r="C61" s="25"/>
      <c r="D61" s="2"/>
      <c r="E61" s="5"/>
      <c r="F61" s="5"/>
      <c r="G61" s="6" t="str">
        <f t="shared" si="3"/>
        <v/>
      </c>
    </row>
    <row r="62" spans="2:7" x14ac:dyDescent="0.2">
      <c r="C62" s="25"/>
      <c r="D62" s="2"/>
      <c r="E62" s="5"/>
      <c r="F62" s="5"/>
      <c r="G62" s="6" t="str">
        <f t="shared" si="3"/>
        <v/>
      </c>
    </row>
    <row r="63" spans="2:7" x14ac:dyDescent="0.2">
      <c r="C63" s="25"/>
      <c r="D63" s="2"/>
      <c r="E63" s="5"/>
      <c r="F63" s="5"/>
      <c r="G63" s="6" t="str">
        <f t="shared" si="3"/>
        <v/>
      </c>
    </row>
    <row r="64" spans="2:7" x14ac:dyDescent="0.2">
      <c r="B64" s="13">
        <f>G64</f>
        <v>0</v>
      </c>
      <c r="C64" s="29"/>
      <c r="D64" s="7"/>
      <c r="E64" s="7"/>
      <c r="F64" s="8" t="s">
        <v>5</v>
      </c>
      <c r="G64" s="9">
        <f>SUM(G52:G63)</f>
        <v>0</v>
      </c>
    </row>
    <row r="65" spans="3:7" x14ac:dyDescent="0.2">
      <c r="C65" s="36">
        <f>C50+1</f>
        <v>44017</v>
      </c>
      <c r="D65" s="37"/>
      <c r="E65" s="37"/>
      <c r="F65" s="37"/>
      <c r="G65" s="38"/>
    </row>
    <row r="66" spans="3:7" x14ac:dyDescent="0.2">
      <c r="C66" s="25" t="s">
        <v>0</v>
      </c>
      <c r="D66" s="2" t="s">
        <v>1</v>
      </c>
      <c r="E66" s="3" t="s">
        <v>2</v>
      </c>
      <c r="F66" s="3" t="s">
        <v>3</v>
      </c>
      <c r="G66" s="4" t="s">
        <v>4</v>
      </c>
    </row>
    <row r="67" spans="3:7" x14ac:dyDescent="0.2">
      <c r="C67" s="25"/>
      <c r="D67" s="2"/>
      <c r="E67" s="5"/>
      <c r="F67" s="5"/>
      <c r="G67" s="6" t="str">
        <f t="shared" ref="G67:G80" si="4">IF(ISBLANK(E67),"",(E67-F67-(E67*0.014+0.25)))</f>
        <v/>
      </c>
    </row>
    <row r="68" spans="3:7" x14ac:dyDescent="0.2">
      <c r="C68" s="25"/>
      <c r="D68" s="2"/>
      <c r="E68" s="5"/>
      <c r="F68" s="5"/>
      <c r="G68" s="6" t="str">
        <f t="shared" si="4"/>
        <v/>
      </c>
    </row>
    <row r="69" spans="3:7" x14ac:dyDescent="0.2">
      <c r="C69" s="25"/>
      <c r="D69" s="2"/>
      <c r="E69" s="5"/>
      <c r="F69" s="5"/>
      <c r="G69" s="6" t="str">
        <f t="shared" si="4"/>
        <v/>
      </c>
    </row>
    <row r="70" spans="3:7" x14ac:dyDescent="0.2">
      <c r="C70" s="25"/>
      <c r="D70" s="2"/>
      <c r="E70" s="5"/>
      <c r="F70" s="5"/>
      <c r="G70" s="6" t="str">
        <f t="shared" si="4"/>
        <v/>
      </c>
    </row>
    <row r="71" spans="3:7" x14ac:dyDescent="0.2">
      <c r="C71" s="25"/>
      <c r="D71" s="2"/>
      <c r="E71" s="5"/>
      <c r="F71" s="5"/>
      <c r="G71" s="6" t="str">
        <f t="shared" si="4"/>
        <v/>
      </c>
    </row>
    <row r="72" spans="3:7" x14ac:dyDescent="0.2">
      <c r="C72" s="25"/>
      <c r="D72" s="2"/>
      <c r="E72" s="5"/>
      <c r="F72" s="5"/>
      <c r="G72" s="6" t="str">
        <f t="shared" si="4"/>
        <v/>
      </c>
    </row>
    <row r="73" spans="3:7" x14ac:dyDescent="0.2">
      <c r="C73" s="25"/>
      <c r="D73" s="2"/>
      <c r="E73" s="5"/>
      <c r="F73" s="5"/>
      <c r="G73" s="6" t="str">
        <f t="shared" si="4"/>
        <v/>
      </c>
    </row>
    <row r="74" spans="3:7" x14ac:dyDescent="0.2">
      <c r="C74" s="25"/>
      <c r="D74" s="2"/>
      <c r="E74" s="5"/>
      <c r="F74" s="5"/>
      <c r="G74" s="6" t="str">
        <f t="shared" si="4"/>
        <v/>
      </c>
    </row>
    <row r="75" spans="3:7" x14ac:dyDescent="0.2">
      <c r="C75" s="25"/>
      <c r="D75" s="2"/>
      <c r="E75" s="5"/>
      <c r="F75" s="5"/>
      <c r="G75" s="6" t="str">
        <f t="shared" si="4"/>
        <v/>
      </c>
    </row>
    <row r="76" spans="3:7" x14ac:dyDescent="0.2">
      <c r="C76" s="25"/>
      <c r="D76" s="2"/>
      <c r="E76" s="5"/>
      <c r="F76" s="5"/>
      <c r="G76" s="6" t="str">
        <f t="shared" si="4"/>
        <v/>
      </c>
    </row>
    <row r="77" spans="3:7" x14ac:dyDescent="0.2">
      <c r="C77" s="25"/>
      <c r="D77" s="2"/>
      <c r="E77" s="5"/>
      <c r="F77" s="5"/>
      <c r="G77" s="6" t="str">
        <f t="shared" si="4"/>
        <v/>
      </c>
    </row>
    <row r="78" spans="3:7" x14ac:dyDescent="0.2">
      <c r="C78" s="25"/>
      <c r="D78" s="2"/>
      <c r="E78" s="5"/>
      <c r="F78" s="5"/>
      <c r="G78" s="6" t="str">
        <f t="shared" si="4"/>
        <v/>
      </c>
    </row>
    <row r="79" spans="3:7" x14ac:dyDescent="0.2">
      <c r="C79" s="25"/>
      <c r="D79" s="2"/>
      <c r="E79" s="5"/>
      <c r="F79" s="5"/>
      <c r="G79" s="6" t="str">
        <f t="shared" si="4"/>
        <v/>
      </c>
    </row>
    <row r="80" spans="3:7" x14ac:dyDescent="0.2">
      <c r="C80" s="25"/>
      <c r="D80" s="2"/>
      <c r="E80" s="5"/>
      <c r="F80" s="5"/>
      <c r="G80" s="6" t="str">
        <f t="shared" si="4"/>
        <v/>
      </c>
    </row>
    <row r="81" spans="2:7" x14ac:dyDescent="0.2">
      <c r="B81" s="13">
        <f>G81</f>
        <v>0</v>
      </c>
      <c r="C81" s="29"/>
      <c r="D81" s="7"/>
      <c r="E81" s="7"/>
      <c r="F81" s="8" t="s">
        <v>5</v>
      </c>
      <c r="G81" s="9">
        <f>SUM(G67:G80)</f>
        <v>0</v>
      </c>
    </row>
    <row r="82" spans="2:7" x14ac:dyDescent="0.2">
      <c r="C82" s="36">
        <f>C65+1</f>
        <v>44018</v>
      </c>
      <c r="D82" s="37"/>
      <c r="E82" s="37"/>
      <c r="F82" s="37"/>
      <c r="G82" s="38"/>
    </row>
    <row r="83" spans="2:7" x14ac:dyDescent="0.2">
      <c r="C83" s="25" t="s">
        <v>0</v>
      </c>
      <c r="D83" s="2" t="s">
        <v>1</v>
      </c>
      <c r="E83" s="3" t="s">
        <v>2</v>
      </c>
      <c r="F83" s="3" t="s">
        <v>3</v>
      </c>
      <c r="G83" s="4" t="s">
        <v>4</v>
      </c>
    </row>
    <row r="84" spans="2:7" x14ac:dyDescent="0.2">
      <c r="C84" s="25"/>
      <c r="D84" s="2"/>
      <c r="E84" s="5"/>
      <c r="F84" s="5"/>
      <c r="G84" s="6" t="str">
        <f t="shared" ref="G84:G96" si="5">IF(ISBLANK(E84),"",(E84-F84-(E84*0.014+0.25)))</f>
        <v/>
      </c>
    </row>
    <row r="85" spans="2:7" x14ac:dyDescent="0.2">
      <c r="C85" s="25"/>
      <c r="D85" s="2"/>
      <c r="E85" s="5"/>
      <c r="F85" s="5"/>
      <c r="G85" s="6" t="str">
        <f t="shared" si="5"/>
        <v/>
      </c>
    </row>
    <row r="86" spans="2:7" x14ac:dyDescent="0.2">
      <c r="C86" s="25"/>
      <c r="D86" s="2"/>
      <c r="E86" s="5"/>
      <c r="F86" s="5"/>
      <c r="G86" s="6" t="str">
        <f t="shared" si="5"/>
        <v/>
      </c>
    </row>
    <row r="87" spans="2:7" x14ac:dyDescent="0.2">
      <c r="C87" s="25"/>
      <c r="D87" s="5"/>
      <c r="E87" s="5"/>
      <c r="F87" s="5"/>
      <c r="G87" s="6" t="str">
        <f t="shared" si="5"/>
        <v/>
      </c>
    </row>
    <row r="88" spans="2:7" x14ac:dyDescent="0.2">
      <c r="C88" s="25"/>
      <c r="D88" s="2"/>
      <c r="E88" s="5"/>
      <c r="F88" s="5"/>
      <c r="G88" s="6" t="str">
        <f t="shared" si="5"/>
        <v/>
      </c>
    </row>
    <row r="89" spans="2:7" x14ac:dyDescent="0.2">
      <c r="C89" s="25"/>
      <c r="D89" s="2"/>
      <c r="E89" s="5"/>
      <c r="F89" s="5"/>
      <c r="G89" s="6" t="str">
        <f t="shared" si="5"/>
        <v/>
      </c>
    </row>
    <row r="90" spans="2:7" x14ac:dyDescent="0.2">
      <c r="C90" s="25"/>
      <c r="D90" s="2"/>
      <c r="E90" s="5"/>
      <c r="F90" s="5"/>
      <c r="G90" s="6" t="str">
        <f t="shared" si="5"/>
        <v/>
      </c>
    </row>
    <row r="91" spans="2:7" x14ac:dyDescent="0.2">
      <c r="C91" s="25"/>
      <c r="D91" s="2"/>
      <c r="E91" s="5"/>
      <c r="F91" s="5"/>
      <c r="G91" s="6" t="str">
        <f t="shared" si="5"/>
        <v/>
      </c>
    </row>
    <row r="92" spans="2:7" x14ac:dyDescent="0.2">
      <c r="C92" s="25"/>
      <c r="D92" s="2"/>
      <c r="E92" s="5"/>
      <c r="F92" s="5"/>
      <c r="G92" s="6" t="str">
        <f t="shared" si="5"/>
        <v/>
      </c>
    </row>
    <row r="93" spans="2:7" x14ac:dyDescent="0.2">
      <c r="C93" s="25"/>
      <c r="D93" s="2"/>
      <c r="E93" s="5"/>
      <c r="F93" s="5"/>
      <c r="G93" s="6" t="str">
        <f t="shared" si="5"/>
        <v/>
      </c>
    </row>
    <row r="94" spans="2:7" x14ac:dyDescent="0.2">
      <c r="C94" s="25"/>
      <c r="D94" s="2"/>
      <c r="E94" s="5"/>
      <c r="F94" s="5"/>
      <c r="G94" s="6" t="str">
        <f t="shared" si="5"/>
        <v/>
      </c>
    </row>
    <row r="95" spans="2:7" x14ac:dyDescent="0.2">
      <c r="C95" s="25"/>
      <c r="D95" s="2"/>
      <c r="E95" s="5"/>
      <c r="F95" s="5"/>
      <c r="G95" s="6" t="str">
        <f t="shared" si="5"/>
        <v/>
      </c>
    </row>
    <row r="96" spans="2:7" x14ac:dyDescent="0.2">
      <c r="C96" s="25"/>
      <c r="D96" s="2"/>
      <c r="E96" s="5"/>
      <c r="F96" s="5"/>
      <c r="G96" s="6" t="str">
        <f t="shared" si="5"/>
        <v/>
      </c>
    </row>
    <row r="97" spans="2:7" x14ac:dyDescent="0.2">
      <c r="B97" s="13">
        <f>G97</f>
        <v>0</v>
      </c>
      <c r="C97" s="29"/>
      <c r="D97" s="7"/>
      <c r="E97" s="7"/>
      <c r="F97" s="8" t="s">
        <v>5</v>
      </c>
      <c r="G97" s="9">
        <f>SUM(G84:G96)</f>
        <v>0</v>
      </c>
    </row>
    <row r="98" spans="2:7" x14ac:dyDescent="0.2">
      <c r="C98" s="36">
        <f>C82+1</f>
        <v>44019</v>
      </c>
      <c r="D98" s="37"/>
      <c r="E98" s="37"/>
      <c r="F98" s="37"/>
      <c r="G98" s="38"/>
    </row>
    <row r="99" spans="2:7" x14ac:dyDescent="0.2">
      <c r="C99" s="25" t="s">
        <v>0</v>
      </c>
      <c r="D99" s="2" t="s">
        <v>1</v>
      </c>
      <c r="E99" s="3" t="s">
        <v>2</v>
      </c>
      <c r="F99" s="3" t="s">
        <v>3</v>
      </c>
      <c r="G99" s="4" t="s">
        <v>4</v>
      </c>
    </row>
    <row r="100" spans="2:7" x14ac:dyDescent="0.2">
      <c r="C100" s="25"/>
      <c r="D100" s="2"/>
      <c r="E100" s="5"/>
      <c r="F100" s="5"/>
      <c r="G100" s="6" t="str">
        <f t="shared" ref="G100:G112" si="6">IF(ISBLANK(E100),"",(E100-F100-(E100*0.014+0.25)))</f>
        <v/>
      </c>
    </row>
    <row r="101" spans="2:7" x14ac:dyDescent="0.2">
      <c r="C101" s="25"/>
      <c r="D101" s="2"/>
      <c r="E101" s="5"/>
      <c r="F101" s="5"/>
      <c r="G101" s="6" t="str">
        <f t="shared" si="6"/>
        <v/>
      </c>
    </row>
    <row r="102" spans="2:7" x14ac:dyDescent="0.2">
      <c r="C102" s="25"/>
      <c r="D102" s="2"/>
      <c r="E102" s="5"/>
      <c r="F102" s="5"/>
      <c r="G102" s="6" t="str">
        <f t="shared" si="6"/>
        <v/>
      </c>
    </row>
    <row r="103" spans="2:7" x14ac:dyDescent="0.2">
      <c r="C103" s="25"/>
      <c r="D103" s="2"/>
      <c r="E103" s="5"/>
      <c r="F103" s="5"/>
      <c r="G103" s="6" t="str">
        <f t="shared" si="6"/>
        <v/>
      </c>
    </row>
    <row r="104" spans="2:7" x14ac:dyDescent="0.2">
      <c r="C104" s="25"/>
      <c r="D104" s="2"/>
      <c r="E104" s="5"/>
      <c r="F104" s="5"/>
      <c r="G104" s="6" t="str">
        <f t="shared" si="6"/>
        <v/>
      </c>
    </row>
    <row r="105" spans="2:7" x14ac:dyDescent="0.2">
      <c r="C105" s="25"/>
      <c r="D105" s="2"/>
      <c r="E105" s="5"/>
      <c r="F105" s="5"/>
      <c r="G105" s="6" t="str">
        <f t="shared" si="6"/>
        <v/>
      </c>
    </row>
    <row r="106" spans="2:7" x14ac:dyDescent="0.2">
      <c r="C106" s="25"/>
      <c r="D106" s="2"/>
      <c r="E106" s="5"/>
      <c r="F106" s="5"/>
      <c r="G106" s="6" t="str">
        <f t="shared" si="6"/>
        <v/>
      </c>
    </row>
    <row r="107" spans="2:7" x14ac:dyDescent="0.2">
      <c r="C107" s="25"/>
      <c r="D107" s="2"/>
      <c r="E107" s="5"/>
      <c r="F107" s="5"/>
      <c r="G107" s="6" t="str">
        <f t="shared" si="6"/>
        <v/>
      </c>
    </row>
    <row r="108" spans="2:7" x14ac:dyDescent="0.2">
      <c r="C108" s="25"/>
      <c r="D108" s="2"/>
      <c r="E108" s="5"/>
      <c r="F108" s="5"/>
      <c r="G108" s="6" t="str">
        <f t="shared" si="6"/>
        <v/>
      </c>
    </row>
    <row r="109" spans="2:7" x14ac:dyDescent="0.2">
      <c r="C109" s="25"/>
      <c r="D109" s="2"/>
      <c r="E109" s="5"/>
      <c r="F109" s="5"/>
      <c r="G109" s="6" t="str">
        <f t="shared" si="6"/>
        <v/>
      </c>
    </row>
    <row r="110" spans="2:7" x14ac:dyDescent="0.2">
      <c r="C110" s="25"/>
      <c r="D110" s="2"/>
      <c r="E110" s="5"/>
      <c r="F110" s="5"/>
      <c r="G110" s="6" t="str">
        <f t="shared" si="6"/>
        <v/>
      </c>
    </row>
    <row r="111" spans="2:7" x14ac:dyDescent="0.2">
      <c r="C111" s="25"/>
      <c r="D111" s="2"/>
      <c r="E111" s="5"/>
      <c r="F111" s="5"/>
      <c r="G111" s="6" t="str">
        <f t="shared" si="6"/>
        <v/>
      </c>
    </row>
    <row r="112" spans="2:7" x14ac:dyDescent="0.2">
      <c r="C112" s="25"/>
      <c r="D112" s="2"/>
      <c r="E112" s="5"/>
      <c r="F112" s="5"/>
      <c r="G112" s="6" t="str">
        <f t="shared" si="6"/>
        <v/>
      </c>
    </row>
    <row r="113" spans="2:7" x14ac:dyDescent="0.2">
      <c r="B113" s="13">
        <f>G113</f>
        <v>0</v>
      </c>
      <c r="C113" s="29"/>
      <c r="D113" s="7"/>
      <c r="E113" s="7"/>
      <c r="F113" s="8" t="s">
        <v>5</v>
      </c>
      <c r="G113" s="9">
        <f>SUM(G100:G112)</f>
        <v>0</v>
      </c>
    </row>
    <row r="114" spans="2:7" x14ac:dyDescent="0.2">
      <c r="C114" s="36">
        <f>C98+1</f>
        <v>44020</v>
      </c>
      <c r="D114" s="37"/>
      <c r="E114" s="37"/>
      <c r="F114" s="37"/>
      <c r="G114" s="38"/>
    </row>
    <row r="115" spans="2:7" x14ac:dyDescent="0.2">
      <c r="C115" s="25" t="s">
        <v>0</v>
      </c>
      <c r="D115" s="2" t="s">
        <v>1</v>
      </c>
      <c r="E115" s="3" t="s">
        <v>2</v>
      </c>
      <c r="F115" s="3" t="s">
        <v>3</v>
      </c>
      <c r="G115" s="4" t="s">
        <v>4</v>
      </c>
    </row>
    <row r="116" spans="2:7" x14ac:dyDescent="0.2">
      <c r="C116" s="25"/>
      <c r="D116" s="2"/>
      <c r="E116" s="5"/>
      <c r="F116" s="5"/>
      <c r="G116" s="6" t="str">
        <f t="shared" ref="G116:G128" si="7">IF(ISBLANK(E116),"",(E116-F116-(E116*0.014+0.25)))</f>
        <v/>
      </c>
    </row>
    <row r="117" spans="2:7" x14ac:dyDescent="0.2">
      <c r="C117" s="25"/>
      <c r="D117" s="2"/>
      <c r="E117" s="5"/>
      <c r="F117" s="5"/>
      <c r="G117" s="6" t="str">
        <f t="shared" si="7"/>
        <v/>
      </c>
    </row>
    <row r="118" spans="2:7" x14ac:dyDescent="0.2">
      <c r="C118" s="25"/>
      <c r="D118" s="2"/>
      <c r="E118" s="5"/>
      <c r="F118" s="5"/>
      <c r="G118" s="6" t="str">
        <f t="shared" si="7"/>
        <v/>
      </c>
    </row>
    <row r="119" spans="2:7" x14ac:dyDescent="0.2">
      <c r="C119" s="25"/>
      <c r="D119" s="2"/>
      <c r="E119" s="5"/>
      <c r="F119" s="5"/>
      <c r="G119" s="6" t="str">
        <f t="shared" si="7"/>
        <v/>
      </c>
    </row>
    <row r="120" spans="2:7" x14ac:dyDescent="0.2">
      <c r="C120" s="25"/>
      <c r="D120" s="5"/>
      <c r="E120" s="5"/>
      <c r="F120" s="5"/>
      <c r="G120" s="6" t="str">
        <f t="shared" si="7"/>
        <v/>
      </c>
    </row>
    <row r="121" spans="2:7" x14ac:dyDescent="0.2">
      <c r="C121" s="25"/>
      <c r="D121" s="2"/>
      <c r="E121" s="5"/>
      <c r="F121" s="5"/>
      <c r="G121" s="6" t="str">
        <f t="shared" si="7"/>
        <v/>
      </c>
    </row>
    <row r="122" spans="2:7" x14ac:dyDescent="0.2">
      <c r="C122" s="25"/>
      <c r="D122" s="2"/>
      <c r="E122" s="5"/>
      <c r="F122" s="5"/>
      <c r="G122" s="6" t="str">
        <f t="shared" si="7"/>
        <v/>
      </c>
    </row>
    <row r="123" spans="2:7" x14ac:dyDescent="0.2">
      <c r="C123" s="25"/>
      <c r="D123" s="2"/>
      <c r="E123" s="5"/>
      <c r="F123" s="5"/>
      <c r="G123" s="6" t="str">
        <f t="shared" si="7"/>
        <v/>
      </c>
    </row>
    <row r="124" spans="2:7" x14ac:dyDescent="0.2">
      <c r="C124" s="25"/>
      <c r="D124" s="2"/>
      <c r="E124" s="5"/>
      <c r="F124" s="5"/>
      <c r="G124" s="6" t="str">
        <f t="shared" si="7"/>
        <v/>
      </c>
    </row>
    <row r="125" spans="2:7" x14ac:dyDescent="0.2">
      <c r="C125" s="25"/>
      <c r="D125" s="2"/>
      <c r="E125" s="5"/>
      <c r="F125" s="5"/>
      <c r="G125" s="6" t="str">
        <f t="shared" si="7"/>
        <v/>
      </c>
    </row>
    <row r="126" spans="2:7" x14ac:dyDescent="0.2">
      <c r="C126" s="25"/>
      <c r="D126" s="2"/>
      <c r="E126" s="5"/>
      <c r="F126" s="5"/>
      <c r="G126" s="6" t="str">
        <f t="shared" si="7"/>
        <v/>
      </c>
    </row>
    <row r="127" spans="2:7" x14ac:dyDescent="0.2">
      <c r="C127" s="25"/>
      <c r="D127" s="2"/>
      <c r="E127" s="5"/>
      <c r="F127" s="5"/>
      <c r="G127" s="6" t="str">
        <f t="shared" si="7"/>
        <v/>
      </c>
    </row>
    <row r="128" spans="2:7" x14ac:dyDescent="0.2">
      <c r="C128" s="25"/>
      <c r="D128" s="2"/>
      <c r="E128" s="5"/>
      <c r="F128" s="5"/>
      <c r="G128" s="6" t="str">
        <f t="shared" si="7"/>
        <v/>
      </c>
    </row>
    <row r="129" spans="2:7" x14ac:dyDescent="0.2">
      <c r="B129" s="13">
        <f>G129</f>
        <v>0</v>
      </c>
      <c r="C129" s="29"/>
      <c r="D129" s="7"/>
      <c r="E129" s="7"/>
      <c r="F129" s="8" t="s">
        <v>5</v>
      </c>
      <c r="G129" s="9">
        <f>SUM(G116:G128)</f>
        <v>0</v>
      </c>
    </row>
    <row r="130" spans="2:7" x14ac:dyDescent="0.2">
      <c r="C130" s="36">
        <f>C114+1</f>
        <v>44021</v>
      </c>
      <c r="D130" s="37"/>
      <c r="E130" s="37"/>
      <c r="F130" s="37"/>
      <c r="G130" s="38"/>
    </row>
    <row r="131" spans="2:7" x14ac:dyDescent="0.2">
      <c r="C131" s="25" t="s">
        <v>0</v>
      </c>
      <c r="D131" s="2" t="s">
        <v>1</v>
      </c>
      <c r="E131" s="3" t="s">
        <v>2</v>
      </c>
      <c r="F131" s="3" t="s">
        <v>3</v>
      </c>
      <c r="G131" s="4" t="s">
        <v>4</v>
      </c>
    </row>
    <row r="132" spans="2:7" x14ac:dyDescent="0.2">
      <c r="C132" s="25"/>
      <c r="D132" s="2"/>
      <c r="E132" s="5"/>
      <c r="F132" s="5"/>
      <c r="G132" s="6" t="str">
        <f t="shared" ref="G132:G142" si="8">IF(ISBLANK(E132),"",(E132-F132-(E132*0.014+0.25)))</f>
        <v/>
      </c>
    </row>
    <row r="133" spans="2:7" x14ac:dyDescent="0.2">
      <c r="C133" s="25"/>
      <c r="D133" s="2"/>
      <c r="E133" s="5"/>
      <c r="F133" s="5"/>
      <c r="G133" s="6" t="str">
        <f t="shared" si="8"/>
        <v/>
      </c>
    </row>
    <row r="134" spans="2:7" x14ac:dyDescent="0.2">
      <c r="C134" s="25"/>
      <c r="D134" s="2"/>
      <c r="E134" s="5"/>
      <c r="F134" s="5"/>
      <c r="G134" s="6" t="str">
        <f t="shared" si="8"/>
        <v/>
      </c>
    </row>
    <row r="135" spans="2:7" x14ac:dyDescent="0.2">
      <c r="C135" s="25"/>
      <c r="D135" s="2"/>
      <c r="E135" s="5"/>
      <c r="F135" s="5"/>
      <c r="G135" s="6" t="str">
        <f t="shared" si="8"/>
        <v/>
      </c>
    </row>
    <row r="136" spans="2:7" x14ac:dyDescent="0.2">
      <c r="C136" s="25"/>
      <c r="D136" s="2"/>
      <c r="E136" s="5"/>
      <c r="F136" s="5"/>
      <c r="G136" s="6" t="str">
        <f t="shared" si="8"/>
        <v/>
      </c>
    </row>
    <row r="137" spans="2:7" x14ac:dyDescent="0.2">
      <c r="C137" s="25"/>
      <c r="D137" s="2"/>
      <c r="E137" s="5"/>
      <c r="F137" s="5"/>
      <c r="G137" s="6" t="str">
        <f t="shared" si="8"/>
        <v/>
      </c>
    </row>
    <row r="138" spans="2:7" x14ac:dyDescent="0.2">
      <c r="C138" s="25"/>
      <c r="D138" s="2"/>
      <c r="E138" s="5"/>
      <c r="F138" s="5"/>
      <c r="G138" s="6" t="str">
        <f t="shared" si="8"/>
        <v/>
      </c>
    </row>
    <row r="139" spans="2:7" x14ac:dyDescent="0.2">
      <c r="C139" s="25"/>
      <c r="D139" s="2"/>
      <c r="E139" s="5"/>
      <c r="F139" s="5"/>
      <c r="G139" s="6" t="str">
        <f t="shared" si="8"/>
        <v/>
      </c>
    </row>
    <row r="140" spans="2:7" x14ac:dyDescent="0.2">
      <c r="C140" s="25"/>
      <c r="D140" s="2"/>
      <c r="E140" s="5"/>
      <c r="F140" s="5"/>
      <c r="G140" s="6" t="str">
        <f t="shared" si="8"/>
        <v/>
      </c>
    </row>
    <row r="141" spans="2:7" x14ac:dyDescent="0.2">
      <c r="C141" s="25"/>
      <c r="D141" s="2"/>
      <c r="E141" s="5"/>
      <c r="F141" s="5"/>
      <c r="G141" s="6" t="str">
        <f t="shared" si="8"/>
        <v/>
      </c>
    </row>
    <row r="142" spans="2:7" x14ac:dyDescent="0.2">
      <c r="C142" s="25"/>
      <c r="D142" s="2"/>
      <c r="E142" s="5"/>
      <c r="F142" s="5"/>
      <c r="G142" s="6" t="str">
        <f t="shared" si="8"/>
        <v/>
      </c>
    </row>
    <row r="143" spans="2:7" x14ac:dyDescent="0.2">
      <c r="B143" s="13">
        <f>G143</f>
        <v>0</v>
      </c>
      <c r="C143" s="29"/>
      <c r="D143" s="7"/>
      <c r="E143" s="7"/>
      <c r="F143" s="8" t="s">
        <v>5</v>
      </c>
      <c r="G143" s="9">
        <f>SUM(G132:G142)</f>
        <v>0</v>
      </c>
    </row>
    <row r="144" spans="2:7" x14ac:dyDescent="0.2">
      <c r="C144" s="36">
        <f>C130+1</f>
        <v>44022</v>
      </c>
      <c r="D144" s="37"/>
      <c r="E144" s="37"/>
      <c r="F144" s="37"/>
      <c r="G144" s="38"/>
    </row>
    <row r="145" spans="2:7" x14ac:dyDescent="0.2">
      <c r="C145" s="25" t="s">
        <v>0</v>
      </c>
      <c r="D145" s="2" t="s">
        <v>1</v>
      </c>
      <c r="E145" s="3" t="s">
        <v>2</v>
      </c>
      <c r="F145" s="3" t="s">
        <v>3</v>
      </c>
      <c r="G145" s="4" t="s">
        <v>4</v>
      </c>
    </row>
    <row r="146" spans="2:7" x14ac:dyDescent="0.2">
      <c r="C146" s="25"/>
      <c r="D146" s="2"/>
      <c r="E146" s="3"/>
      <c r="F146" s="5"/>
      <c r="G146" s="6" t="str">
        <f t="shared" ref="G146:G156" si="9">IF(ISBLANK(E146),"",(E146-F146-(E146*0.014+0.25)))</f>
        <v/>
      </c>
    </row>
    <row r="147" spans="2:7" x14ac:dyDescent="0.2">
      <c r="C147" s="25"/>
      <c r="D147" s="2"/>
      <c r="E147" s="3"/>
      <c r="F147" s="5"/>
      <c r="G147" s="6" t="str">
        <f t="shared" si="9"/>
        <v/>
      </c>
    </row>
    <row r="148" spans="2:7" x14ac:dyDescent="0.2">
      <c r="C148" s="25"/>
      <c r="D148" s="2"/>
      <c r="E148" s="3"/>
      <c r="F148" s="5"/>
      <c r="G148" s="6" t="str">
        <f t="shared" si="9"/>
        <v/>
      </c>
    </row>
    <row r="149" spans="2:7" x14ac:dyDescent="0.2">
      <c r="C149" s="25"/>
      <c r="D149" s="2"/>
      <c r="E149" s="5"/>
      <c r="F149" s="5"/>
      <c r="G149" s="6" t="str">
        <f t="shared" si="9"/>
        <v/>
      </c>
    </row>
    <row r="150" spans="2:7" x14ac:dyDescent="0.2">
      <c r="C150" s="25"/>
      <c r="D150" s="2"/>
      <c r="E150" s="5"/>
      <c r="F150" s="5"/>
      <c r="G150" s="6" t="str">
        <f t="shared" si="9"/>
        <v/>
      </c>
    </row>
    <row r="151" spans="2:7" x14ac:dyDescent="0.2">
      <c r="C151" s="25"/>
      <c r="D151" s="2"/>
      <c r="E151" s="5"/>
      <c r="F151" s="5"/>
      <c r="G151" s="6" t="str">
        <f t="shared" si="9"/>
        <v/>
      </c>
    </row>
    <row r="152" spans="2:7" x14ac:dyDescent="0.2">
      <c r="C152" s="25"/>
      <c r="D152" s="2"/>
      <c r="E152" s="32"/>
      <c r="F152" s="5"/>
      <c r="G152" s="6" t="str">
        <f t="shared" si="9"/>
        <v/>
      </c>
    </row>
    <row r="153" spans="2:7" x14ac:dyDescent="0.2">
      <c r="C153" s="25"/>
      <c r="D153" s="2"/>
      <c r="E153" s="32"/>
      <c r="F153" s="5"/>
      <c r="G153" s="6" t="str">
        <f t="shared" si="9"/>
        <v/>
      </c>
    </row>
    <row r="154" spans="2:7" x14ac:dyDescent="0.2">
      <c r="C154" s="25"/>
      <c r="D154" s="2"/>
      <c r="E154" s="32"/>
      <c r="F154" s="5"/>
      <c r="G154" s="6" t="str">
        <f t="shared" si="9"/>
        <v/>
      </c>
    </row>
    <row r="155" spans="2:7" x14ac:dyDescent="0.2">
      <c r="C155" s="25"/>
      <c r="D155" s="2"/>
      <c r="E155" s="5"/>
      <c r="F155" s="5"/>
      <c r="G155" s="6" t="str">
        <f t="shared" si="9"/>
        <v/>
      </c>
    </row>
    <row r="156" spans="2:7" x14ac:dyDescent="0.2">
      <c r="C156" s="25"/>
      <c r="D156" s="2"/>
      <c r="E156" s="5"/>
      <c r="F156" s="5"/>
      <c r="G156" s="6" t="str">
        <f t="shared" si="9"/>
        <v/>
      </c>
    </row>
    <row r="157" spans="2:7" x14ac:dyDescent="0.2">
      <c r="B157" s="13">
        <f>G157</f>
        <v>0</v>
      </c>
      <c r="C157" s="29"/>
      <c r="D157" s="7"/>
      <c r="E157" s="7"/>
      <c r="F157" s="8" t="s">
        <v>5</v>
      </c>
      <c r="G157" s="9">
        <f>SUM(G146:G156)</f>
        <v>0</v>
      </c>
    </row>
    <row r="158" spans="2:7" x14ac:dyDescent="0.2">
      <c r="C158" s="36">
        <f>C144+1</f>
        <v>44023</v>
      </c>
      <c r="D158" s="37"/>
      <c r="E158" s="37"/>
      <c r="F158" s="37"/>
      <c r="G158" s="38"/>
    </row>
    <row r="159" spans="2:7" x14ac:dyDescent="0.2">
      <c r="C159" s="25" t="s">
        <v>0</v>
      </c>
      <c r="D159" s="2" t="s">
        <v>1</v>
      </c>
      <c r="E159" s="3" t="s">
        <v>2</v>
      </c>
      <c r="F159" s="3" t="s">
        <v>3</v>
      </c>
      <c r="G159" s="4" t="s">
        <v>4</v>
      </c>
    </row>
    <row r="160" spans="2:7" x14ac:dyDescent="0.2">
      <c r="C160" s="25"/>
      <c r="D160" s="2"/>
      <c r="E160" s="5"/>
      <c r="F160" s="5"/>
      <c r="G160" s="6" t="str">
        <f t="shared" ref="G160:G172" si="10">IF(ISBLANK(E160),"",(E160-F160-(E160*0.014+0.25)))</f>
        <v/>
      </c>
    </row>
    <row r="161" spans="2:7" x14ac:dyDescent="0.2">
      <c r="C161" s="25"/>
      <c r="D161" s="2"/>
      <c r="E161" s="5"/>
      <c r="F161" s="5"/>
      <c r="G161" s="6" t="str">
        <f t="shared" si="10"/>
        <v/>
      </c>
    </row>
    <row r="162" spans="2:7" x14ac:dyDescent="0.2">
      <c r="C162" s="25"/>
      <c r="D162" s="2"/>
      <c r="E162" s="5"/>
      <c r="F162" s="5"/>
      <c r="G162" s="6" t="str">
        <f t="shared" si="10"/>
        <v/>
      </c>
    </row>
    <row r="163" spans="2:7" x14ac:dyDescent="0.2">
      <c r="C163" s="25"/>
      <c r="D163" s="2"/>
      <c r="E163" s="5"/>
      <c r="F163" s="5"/>
      <c r="G163" s="6" t="str">
        <f t="shared" si="10"/>
        <v/>
      </c>
    </row>
    <row r="164" spans="2:7" x14ac:dyDescent="0.2">
      <c r="C164" s="25"/>
      <c r="D164" s="2"/>
      <c r="E164" s="5"/>
      <c r="F164" s="5"/>
      <c r="G164" s="6" t="str">
        <f t="shared" si="10"/>
        <v/>
      </c>
    </row>
    <row r="165" spans="2:7" x14ac:dyDescent="0.2">
      <c r="C165" s="25"/>
      <c r="D165" s="2"/>
      <c r="E165" s="5"/>
      <c r="F165" s="5"/>
      <c r="G165" s="6" t="str">
        <f t="shared" si="10"/>
        <v/>
      </c>
    </row>
    <row r="166" spans="2:7" x14ac:dyDescent="0.2">
      <c r="C166" s="25"/>
      <c r="D166" s="2"/>
      <c r="E166" s="5"/>
      <c r="F166" s="5"/>
      <c r="G166" s="6" t="str">
        <f t="shared" si="10"/>
        <v/>
      </c>
    </row>
    <row r="167" spans="2:7" x14ac:dyDescent="0.2">
      <c r="C167" s="25"/>
      <c r="D167" s="2"/>
      <c r="E167" s="5"/>
      <c r="F167" s="5"/>
      <c r="G167" s="6" t="str">
        <f t="shared" si="10"/>
        <v/>
      </c>
    </row>
    <row r="168" spans="2:7" x14ac:dyDescent="0.2">
      <c r="C168" s="25"/>
      <c r="D168" s="2"/>
      <c r="E168" s="5"/>
      <c r="F168" s="5"/>
      <c r="G168" s="6" t="str">
        <f t="shared" si="10"/>
        <v/>
      </c>
    </row>
    <row r="169" spans="2:7" x14ac:dyDescent="0.2">
      <c r="C169" s="25"/>
      <c r="D169" s="2"/>
      <c r="E169" s="5"/>
      <c r="F169" s="5"/>
      <c r="G169" s="6" t="str">
        <f t="shared" si="10"/>
        <v/>
      </c>
    </row>
    <row r="170" spans="2:7" x14ac:dyDescent="0.2">
      <c r="C170" s="25"/>
      <c r="D170" s="2"/>
      <c r="E170" s="5"/>
      <c r="F170" s="5"/>
      <c r="G170" s="6" t="str">
        <f t="shared" si="10"/>
        <v/>
      </c>
    </row>
    <row r="171" spans="2:7" x14ac:dyDescent="0.2">
      <c r="C171" s="25"/>
      <c r="D171" s="2"/>
      <c r="E171" s="5"/>
      <c r="F171" s="5"/>
      <c r="G171" s="6" t="str">
        <f t="shared" si="10"/>
        <v/>
      </c>
    </row>
    <row r="172" spans="2:7" x14ac:dyDescent="0.2">
      <c r="C172" s="25"/>
      <c r="D172" s="2"/>
      <c r="E172" s="5"/>
      <c r="F172" s="5"/>
      <c r="G172" s="6" t="str">
        <f t="shared" si="10"/>
        <v/>
      </c>
    </row>
    <row r="173" spans="2:7" x14ac:dyDescent="0.2">
      <c r="B173" s="13">
        <f>G173</f>
        <v>0</v>
      </c>
      <c r="C173" s="29"/>
      <c r="D173" s="7"/>
      <c r="E173" s="7"/>
      <c r="F173" s="8" t="s">
        <v>5</v>
      </c>
      <c r="G173" s="9">
        <f>SUM(G160:G172)</f>
        <v>0</v>
      </c>
    </row>
    <row r="174" spans="2:7" x14ac:dyDescent="0.2">
      <c r="C174" s="36">
        <f>C158+1</f>
        <v>44024</v>
      </c>
      <c r="D174" s="37"/>
      <c r="E174" s="37"/>
      <c r="F174" s="37"/>
      <c r="G174" s="38"/>
    </row>
    <row r="175" spans="2:7" x14ac:dyDescent="0.2">
      <c r="C175" s="25" t="s">
        <v>0</v>
      </c>
      <c r="D175" s="2" t="s">
        <v>1</v>
      </c>
      <c r="E175" s="3" t="s">
        <v>2</v>
      </c>
      <c r="F175" s="3" t="s">
        <v>3</v>
      </c>
      <c r="G175" s="4" t="s">
        <v>4</v>
      </c>
    </row>
    <row r="176" spans="2:7" x14ac:dyDescent="0.2">
      <c r="C176" s="25"/>
      <c r="D176" s="2"/>
      <c r="E176" s="5"/>
      <c r="F176" s="5"/>
      <c r="G176" s="6" t="str">
        <f t="shared" ref="G176:G185" si="11">IF(ISBLANK(E176),"",(E176-F176-(E176*0.014+0.25)))</f>
        <v/>
      </c>
    </row>
    <row r="177" spans="2:7" x14ac:dyDescent="0.2">
      <c r="C177" s="25"/>
      <c r="D177" s="2"/>
      <c r="E177" s="5"/>
      <c r="F177" s="5"/>
      <c r="G177" s="6" t="str">
        <f t="shared" si="11"/>
        <v/>
      </c>
    </row>
    <row r="178" spans="2:7" x14ac:dyDescent="0.2">
      <c r="C178" s="25"/>
      <c r="D178" s="2"/>
      <c r="E178" s="5"/>
      <c r="F178" s="5"/>
      <c r="G178" s="6" t="str">
        <f t="shared" si="11"/>
        <v/>
      </c>
    </row>
    <row r="179" spans="2:7" x14ac:dyDescent="0.2">
      <c r="C179" s="25"/>
      <c r="D179" s="2"/>
      <c r="E179" s="5"/>
      <c r="F179" s="5"/>
      <c r="G179" s="6" t="str">
        <f t="shared" si="11"/>
        <v/>
      </c>
    </row>
    <row r="180" spans="2:7" x14ac:dyDescent="0.2">
      <c r="C180" s="25"/>
      <c r="D180" s="2"/>
      <c r="E180" s="5"/>
      <c r="F180" s="5"/>
      <c r="G180" s="6" t="str">
        <f t="shared" si="11"/>
        <v/>
      </c>
    </row>
    <row r="181" spans="2:7" x14ac:dyDescent="0.2">
      <c r="C181" s="25"/>
      <c r="D181" s="2"/>
      <c r="E181" s="5"/>
      <c r="F181" s="5"/>
      <c r="G181" s="6" t="str">
        <f t="shared" si="11"/>
        <v/>
      </c>
    </row>
    <row r="182" spans="2:7" x14ac:dyDescent="0.2">
      <c r="C182" s="25"/>
      <c r="D182" s="2"/>
      <c r="E182" s="5"/>
      <c r="F182" s="5"/>
      <c r="G182" s="6" t="str">
        <f t="shared" si="11"/>
        <v/>
      </c>
    </row>
    <row r="183" spans="2:7" x14ac:dyDescent="0.2">
      <c r="C183" s="25"/>
      <c r="D183" s="2"/>
      <c r="E183" s="5"/>
      <c r="F183" s="5"/>
      <c r="G183" s="6" t="str">
        <f t="shared" si="11"/>
        <v/>
      </c>
    </row>
    <row r="184" spans="2:7" x14ac:dyDescent="0.2">
      <c r="C184" s="25"/>
      <c r="D184" s="2"/>
      <c r="E184" s="5"/>
      <c r="F184" s="5"/>
      <c r="G184" s="6" t="str">
        <f t="shared" si="11"/>
        <v/>
      </c>
    </row>
    <row r="185" spans="2:7" x14ac:dyDescent="0.2">
      <c r="C185" s="25"/>
      <c r="D185" s="2"/>
      <c r="E185" s="5"/>
      <c r="F185" s="5"/>
      <c r="G185" s="6" t="str">
        <f t="shared" si="11"/>
        <v/>
      </c>
    </row>
    <row r="186" spans="2:7" x14ac:dyDescent="0.2">
      <c r="B186" s="13">
        <f>G186</f>
        <v>0</v>
      </c>
      <c r="C186" s="29"/>
      <c r="D186" s="7"/>
      <c r="E186" s="7"/>
      <c r="F186" s="8" t="s">
        <v>5</v>
      </c>
      <c r="G186" s="9">
        <f>SUM(G176:G185)</f>
        <v>0</v>
      </c>
    </row>
    <row r="187" spans="2:7" x14ac:dyDescent="0.2">
      <c r="C187" s="36">
        <f>C174+1</f>
        <v>44025</v>
      </c>
      <c r="D187" s="37"/>
      <c r="E187" s="37"/>
      <c r="F187" s="37"/>
      <c r="G187" s="38"/>
    </row>
    <row r="188" spans="2:7" x14ac:dyDescent="0.2">
      <c r="C188" s="25" t="s">
        <v>0</v>
      </c>
      <c r="D188" s="2" t="s">
        <v>1</v>
      </c>
      <c r="E188" s="3" t="s">
        <v>2</v>
      </c>
      <c r="F188" s="3" t="s">
        <v>3</v>
      </c>
      <c r="G188" s="4" t="s">
        <v>4</v>
      </c>
    </row>
    <row r="189" spans="2:7" x14ac:dyDescent="0.2">
      <c r="C189" s="25"/>
      <c r="D189" s="2"/>
      <c r="E189" s="5"/>
      <c r="F189" s="5"/>
      <c r="G189" s="6" t="str">
        <f t="shared" ref="G189:G198" si="12">IF(ISBLANK(E189),"",(E189-F189-(E189*0.014+0.25)))</f>
        <v/>
      </c>
    </row>
    <row r="190" spans="2:7" x14ac:dyDescent="0.2">
      <c r="C190" s="25"/>
      <c r="D190" s="2"/>
      <c r="E190" s="5"/>
      <c r="F190" s="5"/>
      <c r="G190" s="6" t="str">
        <f t="shared" si="12"/>
        <v/>
      </c>
    </row>
    <row r="191" spans="2:7" x14ac:dyDescent="0.2">
      <c r="C191" s="25"/>
      <c r="D191" s="2"/>
      <c r="E191" s="5"/>
      <c r="F191" s="5"/>
      <c r="G191" s="6" t="str">
        <f t="shared" si="12"/>
        <v/>
      </c>
    </row>
    <row r="192" spans="2:7" x14ac:dyDescent="0.2">
      <c r="C192" s="25"/>
      <c r="D192" s="2"/>
      <c r="E192" s="5"/>
      <c r="F192" s="5"/>
      <c r="G192" s="6" t="str">
        <f t="shared" si="12"/>
        <v/>
      </c>
    </row>
    <row r="193" spans="2:7" x14ac:dyDescent="0.2">
      <c r="C193" s="25"/>
      <c r="D193" s="2"/>
      <c r="E193" s="5"/>
      <c r="F193" s="5"/>
      <c r="G193" s="6" t="str">
        <f t="shared" si="12"/>
        <v/>
      </c>
    </row>
    <row r="194" spans="2:7" x14ac:dyDescent="0.2">
      <c r="C194" s="25"/>
      <c r="D194" s="2"/>
      <c r="E194" s="5"/>
      <c r="F194" s="5"/>
      <c r="G194" s="6" t="str">
        <f t="shared" si="12"/>
        <v/>
      </c>
    </row>
    <row r="195" spans="2:7" x14ac:dyDescent="0.2">
      <c r="C195" s="25"/>
      <c r="D195" s="2"/>
      <c r="E195" s="5"/>
      <c r="F195" s="5"/>
      <c r="G195" s="6" t="str">
        <f t="shared" si="12"/>
        <v/>
      </c>
    </row>
    <row r="196" spans="2:7" x14ac:dyDescent="0.2">
      <c r="C196" s="25"/>
      <c r="D196" s="5"/>
      <c r="E196" s="5"/>
      <c r="F196" s="5"/>
      <c r="G196" s="6" t="str">
        <f t="shared" si="12"/>
        <v/>
      </c>
    </row>
    <row r="197" spans="2:7" x14ac:dyDescent="0.2">
      <c r="C197" s="25"/>
      <c r="D197" s="2"/>
      <c r="E197" s="5"/>
      <c r="F197" s="5"/>
      <c r="G197" s="6" t="str">
        <f t="shared" si="12"/>
        <v/>
      </c>
    </row>
    <row r="198" spans="2:7" x14ac:dyDescent="0.2">
      <c r="C198" s="25"/>
      <c r="D198" s="2"/>
      <c r="E198" s="5"/>
      <c r="F198" s="5"/>
      <c r="G198" s="6" t="str">
        <f t="shared" si="12"/>
        <v/>
      </c>
    </row>
    <row r="199" spans="2:7" x14ac:dyDescent="0.2">
      <c r="B199" s="13">
        <f>G199</f>
        <v>0</v>
      </c>
      <c r="C199" s="29"/>
      <c r="D199" s="7"/>
      <c r="E199" s="7"/>
      <c r="F199" s="8" t="s">
        <v>5</v>
      </c>
      <c r="G199" s="9">
        <f>SUM(G189:G198)</f>
        <v>0</v>
      </c>
    </row>
    <row r="200" spans="2:7" x14ac:dyDescent="0.2">
      <c r="C200" s="36">
        <f>C187+1</f>
        <v>44026</v>
      </c>
      <c r="D200" s="37"/>
      <c r="E200" s="37"/>
      <c r="F200" s="37"/>
      <c r="G200" s="38"/>
    </row>
    <row r="201" spans="2:7" x14ac:dyDescent="0.2">
      <c r="C201" s="25" t="s">
        <v>0</v>
      </c>
      <c r="D201" s="2" t="s">
        <v>1</v>
      </c>
      <c r="E201" s="3" t="s">
        <v>2</v>
      </c>
      <c r="F201" s="3" t="s">
        <v>3</v>
      </c>
      <c r="G201" s="4" t="s">
        <v>4</v>
      </c>
    </row>
    <row r="202" spans="2:7" x14ac:dyDescent="0.2">
      <c r="C202" s="25"/>
      <c r="D202" s="2"/>
      <c r="E202" s="5"/>
      <c r="F202" s="5"/>
      <c r="G202" s="6" t="str">
        <f t="shared" ref="G202:G215" si="13">IF(ISBLANK(E202),"",(E202-F202-(E202*0.014+0.25)))</f>
        <v/>
      </c>
    </row>
    <row r="203" spans="2:7" x14ac:dyDescent="0.2">
      <c r="C203" s="25"/>
      <c r="D203" s="2"/>
      <c r="E203" s="5"/>
      <c r="F203" s="5"/>
      <c r="G203" s="6" t="str">
        <f t="shared" si="13"/>
        <v/>
      </c>
    </row>
    <row r="204" spans="2:7" x14ac:dyDescent="0.2">
      <c r="C204" s="25"/>
      <c r="D204" s="2"/>
      <c r="E204" s="5"/>
      <c r="F204" s="5"/>
      <c r="G204" s="6" t="str">
        <f t="shared" si="13"/>
        <v/>
      </c>
    </row>
    <row r="205" spans="2:7" x14ac:dyDescent="0.2">
      <c r="C205" s="25"/>
      <c r="D205" s="2"/>
      <c r="E205" s="5"/>
      <c r="F205" s="5"/>
      <c r="G205" s="6" t="str">
        <f t="shared" si="13"/>
        <v/>
      </c>
    </row>
    <row r="206" spans="2:7" x14ac:dyDescent="0.2">
      <c r="C206" s="25"/>
      <c r="D206" s="2"/>
      <c r="E206" s="5"/>
      <c r="F206" s="5"/>
      <c r="G206" s="6" t="str">
        <f t="shared" si="13"/>
        <v/>
      </c>
    </row>
    <row r="207" spans="2:7" x14ac:dyDescent="0.2">
      <c r="C207" s="25"/>
      <c r="D207" s="2"/>
      <c r="E207" s="5"/>
      <c r="F207" s="5"/>
      <c r="G207" s="6" t="str">
        <f t="shared" si="13"/>
        <v/>
      </c>
    </row>
    <row r="208" spans="2:7" x14ac:dyDescent="0.2">
      <c r="C208" s="25"/>
      <c r="D208" s="2"/>
      <c r="E208" s="5"/>
      <c r="F208" s="5"/>
      <c r="G208" s="6" t="str">
        <f t="shared" si="13"/>
        <v/>
      </c>
    </row>
    <row r="209" spans="2:7" x14ac:dyDescent="0.2">
      <c r="C209" s="25"/>
      <c r="D209" s="2"/>
      <c r="E209" s="5"/>
      <c r="F209" s="5"/>
      <c r="G209" s="6" t="str">
        <f t="shared" si="13"/>
        <v/>
      </c>
    </row>
    <row r="210" spans="2:7" x14ac:dyDescent="0.2">
      <c r="C210" s="25"/>
      <c r="D210" s="2"/>
      <c r="E210" s="5"/>
      <c r="F210" s="5"/>
      <c r="G210" s="6" t="str">
        <f t="shared" si="13"/>
        <v/>
      </c>
    </row>
    <row r="211" spans="2:7" x14ac:dyDescent="0.2">
      <c r="C211" s="25"/>
      <c r="D211" s="2"/>
      <c r="E211" s="5"/>
      <c r="F211" s="5"/>
      <c r="G211" s="6" t="str">
        <f t="shared" si="13"/>
        <v/>
      </c>
    </row>
    <row r="212" spans="2:7" x14ac:dyDescent="0.2">
      <c r="C212" s="25"/>
      <c r="D212" s="2"/>
      <c r="E212" s="5"/>
      <c r="F212" s="5"/>
      <c r="G212" s="6" t="str">
        <f t="shared" si="13"/>
        <v/>
      </c>
    </row>
    <row r="213" spans="2:7" x14ac:dyDescent="0.2">
      <c r="C213" s="25"/>
      <c r="D213" s="2"/>
      <c r="E213" s="5"/>
      <c r="F213" s="5"/>
      <c r="G213" s="6" t="str">
        <f t="shared" si="13"/>
        <v/>
      </c>
    </row>
    <row r="214" spans="2:7" x14ac:dyDescent="0.2">
      <c r="C214" s="25"/>
      <c r="D214" s="2"/>
      <c r="E214" s="5"/>
      <c r="F214" s="5"/>
      <c r="G214" s="6" t="str">
        <f t="shared" si="13"/>
        <v/>
      </c>
    </row>
    <row r="215" spans="2:7" x14ac:dyDescent="0.2">
      <c r="C215" s="25"/>
      <c r="D215" s="2"/>
      <c r="E215" s="5"/>
      <c r="F215" s="5"/>
      <c r="G215" s="6" t="str">
        <f t="shared" si="13"/>
        <v/>
      </c>
    </row>
    <row r="216" spans="2:7" x14ac:dyDescent="0.2">
      <c r="B216" s="13">
        <f>G216</f>
        <v>0</v>
      </c>
      <c r="C216" s="29"/>
      <c r="D216" s="7"/>
      <c r="E216" s="7"/>
      <c r="F216" s="8" t="s">
        <v>5</v>
      </c>
      <c r="G216" s="9">
        <f>SUM(G202:G215)</f>
        <v>0</v>
      </c>
    </row>
    <row r="217" spans="2:7" x14ac:dyDescent="0.2">
      <c r="C217" s="36">
        <f>C200+1</f>
        <v>44027</v>
      </c>
      <c r="D217" s="37"/>
      <c r="E217" s="37"/>
      <c r="F217" s="37"/>
      <c r="G217" s="38"/>
    </row>
    <row r="218" spans="2:7" x14ac:dyDescent="0.2">
      <c r="C218" s="25" t="s">
        <v>0</v>
      </c>
      <c r="D218" s="2" t="s">
        <v>1</v>
      </c>
      <c r="E218" s="3" t="s">
        <v>2</v>
      </c>
      <c r="F218" s="3" t="s">
        <v>3</v>
      </c>
      <c r="G218" s="4" t="s">
        <v>4</v>
      </c>
    </row>
    <row r="219" spans="2:7" x14ac:dyDescent="0.2">
      <c r="C219" s="25"/>
      <c r="D219" s="2"/>
      <c r="E219" s="5"/>
      <c r="F219" s="5"/>
      <c r="G219" s="6" t="str">
        <f t="shared" ref="G219:G229" si="14">IF(ISBLANK(E219),"",(E219-F219-(E219*0.014+0.25)))</f>
        <v/>
      </c>
    </row>
    <row r="220" spans="2:7" x14ac:dyDescent="0.2">
      <c r="C220" s="25"/>
      <c r="D220" s="2"/>
      <c r="E220" s="5"/>
      <c r="F220" s="5"/>
      <c r="G220" s="6" t="str">
        <f t="shared" si="14"/>
        <v/>
      </c>
    </row>
    <row r="221" spans="2:7" x14ac:dyDescent="0.2">
      <c r="C221" s="25"/>
      <c r="D221" s="5"/>
      <c r="E221" s="5"/>
      <c r="F221" s="5"/>
      <c r="G221" s="6" t="str">
        <f t="shared" si="14"/>
        <v/>
      </c>
    </row>
    <row r="222" spans="2:7" x14ac:dyDescent="0.2">
      <c r="C222" s="34"/>
      <c r="D222" s="2"/>
      <c r="E222" s="5"/>
      <c r="F222" s="5"/>
      <c r="G222" s="6" t="str">
        <f t="shared" si="14"/>
        <v/>
      </c>
    </row>
    <row r="223" spans="2:7" x14ac:dyDescent="0.2">
      <c r="C223" s="25"/>
      <c r="D223" s="2"/>
      <c r="E223" s="5"/>
      <c r="F223" s="5"/>
      <c r="G223" s="6" t="str">
        <f t="shared" si="14"/>
        <v/>
      </c>
    </row>
    <row r="224" spans="2:7" x14ac:dyDescent="0.2">
      <c r="C224" s="25"/>
      <c r="D224" s="2"/>
      <c r="E224" s="5"/>
      <c r="F224" s="5"/>
      <c r="G224" s="6" t="str">
        <f t="shared" si="14"/>
        <v/>
      </c>
    </row>
    <row r="225" spans="2:7" x14ac:dyDescent="0.2">
      <c r="C225" s="25"/>
      <c r="D225" s="2"/>
      <c r="E225" s="5"/>
      <c r="F225" s="5"/>
      <c r="G225" s="6" t="str">
        <f t="shared" si="14"/>
        <v/>
      </c>
    </row>
    <row r="226" spans="2:7" x14ac:dyDescent="0.2">
      <c r="C226" s="25"/>
      <c r="D226" s="2"/>
      <c r="E226" s="5"/>
      <c r="F226" s="5"/>
      <c r="G226" s="6" t="str">
        <f t="shared" si="14"/>
        <v/>
      </c>
    </row>
    <row r="227" spans="2:7" x14ac:dyDescent="0.2">
      <c r="C227" s="25"/>
      <c r="D227" s="2"/>
      <c r="E227" s="5"/>
      <c r="F227" s="5"/>
      <c r="G227" s="6" t="str">
        <f t="shared" si="14"/>
        <v/>
      </c>
    </row>
    <row r="228" spans="2:7" x14ac:dyDescent="0.2">
      <c r="C228" s="25"/>
      <c r="D228" s="2"/>
      <c r="E228" s="5"/>
      <c r="F228" s="5"/>
      <c r="G228" s="6" t="str">
        <f t="shared" si="14"/>
        <v/>
      </c>
    </row>
    <row r="229" spans="2:7" x14ac:dyDescent="0.2">
      <c r="C229" s="25"/>
      <c r="D229" s="2"/>
      <c r="E229" s="5"/>
      <c r="F229" s="5"/>
      <c r="G229" s="6" t="str">
        <f t="shared" si="14"/>
        <v/>
      </c>
    </row>
    <row r="230" spans="2:7" x14ac:dyDescent="0.2">
      <c r="B230" s="13">
        <f>G230</f>
        <v>0</v>
      </c>
      <c r="C230" s="29"/>
      <c r="D230" s="7"/>
      <c r="E230" s="7"/>
      <c r="F230" s="8" t="s">
        <v>5</v>
      </c>
      <c r="G230" s="9">
        <f>SUM(G219:G229)</f>
        <v>0</v>
      </c>
    </row>
    <row r="231" spans="2:7" x14ac:dyDescent="0.2">
      <c r="C231" s="36">
        <f>C217+1</f>
        <v>44028</v>
      </c>
      <c r="D231" s="37"/>
      <c r="E231" s="37"/>
      <c r="F231" s="37"/>
      <c r="G231" s="38"/>
    </row>
    <row r="232" spans="2:7" x14ac:dyDescent="0.2">
      <c r="C232" s="25" t="s">
        <v>0</v>
      </c>
      <c r="D232" s="2" t="s">
        <v>1</v>
      </c>
      <c r="E232" s="3" t="s">
        <v>2</v>
      </c>
      <c r="F232" s="3" t="s">
        <v>3</v>
      </c>
      <c r="G232" s="4" t="s">
        <v>4</v>
      </c>
    </row>
    <row r="233" spans="2:7" x14ac:dyDescent="0.2">
      <c r="C233" s="25"/>
      <c r="D233" s="2"/>
      <c r="E233" s="5"/>
      <c r="F233" s="5"/>
      <c r="G233" s="6" t="str">
        <f t="shared" ref="G233:G243" si="15">IF(ISBLANK(E233),"",(E233-F233-(E233*0.014+0.25)))</f>
        <v/>
      </c>
    </row>
    <row r="234" spans="2:7" x14ac:dyDescent="0.2">
      <c r="C234" s="25"/>
      <c r="D234" s="2"/>
      <c r="E234" s="5"/>
      <c r="F234" s="5"/>
      <c r="G234" s="6" t="str">
        <f t="shared" si="15"/>
        <v/>
      </c>
    </row>
    <row r="235" spans="2:7" x14ac:dyDescent="0.2">
      <c r="C235" s="25"/>
      <c r="D235" s="2"/>
      <c r="E235" s="5"/>
      <c r="F235" s="5"/>
      <c r="G235" s="6" t="str">
        <f t="shared" si="15"/>
        <v/>
      </c>
    </row>
    <row r="236" spans="2:7" x14ac:dyDescent="0.2">
      <c r="C236" s="25"/>
      <c r="D236" s="2"/>
      <c r="E236" s="5"/>
      <c r="F236" s="5"/>
      <c r="G236" s="6" t="str">
        <f t="shared" si="15"/>
        <v/>
      </c>
    </row>
    <row r="237" spans="2:7" x14ac:dyDescent="0.2">
      <c r="C237" s="25"/>
      <c r="D237" s="2"/>
      <c r="E237" s="5"/>
      <c r="F237" s="5"/>
      <c r="G237" s="6" t="str">
        <f t="shared" si="15"/>
        <v/>
      </c>
    </row>
    <row r="238" spans="2:7" x14ac:dyDescent="0.2">
      <c r="C238" s="25"/>
      <c r="D238" s="2"/>
      <c r="E238" s="5"/>
      <c r="F238" s="5"/>
      <c r="G238" s="6" t="str">
        <f t="shared" si="15"/>
        <v/>
      </c>
    </row>
    <row r="239" spans="2:7" x14ac:dyDescent="0.2">
      <c r="C239" s="25"/>
      <c r="D239" s="2"/>
      <c r="E239" s="5"/>
      <c r="F239" s="5"/>
      <c r="G239" s="6" t="str">
        <f t="shared" si="15"/>
        <v/>
      </c>
    </row>
    <row r="240" spans="2:7" x14ac:dyDescent="0.2">
      <c r="C240" s="25"/>
      <c r="D240" s="2"/>
      <c r="E240" s="5"/>
      <c r="F240" s="5"/>
      <c r="G240" s="6" t="str">
        <f t="shared" si="15"/>
        <v/>
      </c>
    </row>
    <row r="241" spans="2:7" ht="6" customHeight="1" x14ac:dyDescent="0.2">
      <c r="C241" s="25"/>
      <c r="D241" s="2"/>
      <c r="E241" s="5"/>
      <c r="F241" s="5"/>
      <c r="G241" s="6" t="str">
        <f t="shared" si="15"/>
        <v/>
      </c>
    </row>
    <row r="242" spans="2:7" x14ac:dyDescent="0.2">
      <c r="C242" s="25"/>
      <c r="D242" s="2"/>
      <c r="E242" s="5"/>
      <c r="F242" s="5"/>
      <c r="G242" s="6" t="str">
        <f t="shared" si="15"/>
        <v/>
      </c>
    </row>
    <row r="243" spans="2:7" x14ac:dyDescent="0.2">
      <c r="C243" s="25"/>
      <c r="D243" s="2"/>
      <c r="E243" s="5"/>
      <c r="F243" s="5"/>
      <c r="G243" s="6" t="str">
        <f t="shared" si="15"/>
        <v/>
      </c>
    </row>
    <row r="244" spans="2:7" x14ac:dyDescent="0.2">
      <c r="B244" s="13">
        <f>G244</f>
        <v>0</v>
      </c>
      <c r="C244" s="29"/>
      <c r="D244" s="7"/>
      <c r="E244" s="7"/>
      <c r="F244" s="8" t="s">
        <v>5</v>
      </c>
      <c r="G244" s="9">
        <f>SUM(G233:G243)</f>
        <v>0</v>
      </c>
    </row>
    <row r="245" spans="2:7" x14ac:dyDescent="0.2">
      <c r="C245" s="36">
        <f>C231+1</f>
        <v>44029</v>
      </c>
      <c r="D245" s="37"/>
      <c r="E245" s="37"/>
      <c r="F245" s="37"/>
      <c r="G245" s="38"/>
    </row>
    <row r="246" spans="2:7" x14ac:dyDescent="0.2">
      <c r="C246" s="25" t="s">
        <v>0</v>
      </c>
      <c r="D246" s="2" t="s">
        <v>1</v>
      </c>
      <c r="E246" s="3" t="s">
        <v>2</v>
      </c>
      <c r="F246" s="3" t="s">
        <v>3</v>
      </c>
      <c r="G246" s="4" t="s">
        <v>4</v>
      </c>
    </row>
    <row r="247" spans="2:7" x14ac:dyDescent="0.2">
      <c r="C247" s="25"/>
      <c r="D247" s="2"/>
      <c r="E247" s="5"/>
      <c r="F247" s="5"/>
      <c r="G247" s="6" t="str">
        <f t="shared" ref="G247:G256" si="16">IF(ISBLANK(E247),"",(E247-F247-(E247*0.014+0.25)))</f>
        <v/>
      </c>
    </row>
    <row r="248" spans="2:7" x14ac:dyDescent="0.2">
      <c r="C248" s="25"/>
      <c r="D248" s="2"/>
      <c r="E248" s="5"/>
      <c r="F248" s="5"/>
      <c r="G248" s="6" t="str">
        <f t="shared" si="16"/>
        <v/>
      </c>
    </row>
    <row r="249" spans="2:7" x14ac:dyDescent="0.2">
      <c r="C249" s="25"/>
      <c r="D249" s="2"/>
      <c r="E249" s="5"/>
      <c r="F249" s="5"/>
      <c r="G249" s="6" t="str">
        <f t="shared" si="16"/>
        <v/>
      </c>
    </row>
    <row r="250" spans="2:7" x14ac:dyDescent="0.2">
      <c r="C250" s="25"/>
      <c r="D250" s="2"/>
      <c r="E250" s="5"/>
      <c r="F250" s="5"/>
      <c r="G250" s="6" t="str">
        <f t="shared" si="16"/>
        <v/>
      </c>
    </row>
    <row r="251" spans="2:7" x14ac:dyDescent="0.2">
      <c r="C251" s="25"/>
      <c r="D251" s="2"/>
      <c r="E251" s="5"/>
      <c r="F251" s="5"/>
      <c r="G251" s="6" t="str">
        <f t="shared" si="16"/>
        <v/>
      </c>
    </row>
    <row r="252" spans="2:7" x14ac:dyDescent="0.2">
      <c r="C252" s="25"/>
      <c r="D252" s="2"/>
      <c r="E252" s="5"/>
      <c r="F252" s="5"/>
      <c r="G252" s="6" t="str">
        <f t="shared" si="16"/>
        <v/>
      </c>
    </row>
    <row r="253" spans="2:7" x14ac:dyDescent="0.2">
      <c r="C253" s="25"/>
      <c r="D253" s="2"/>
      <c r="E253" s="5"/>
      <c r="F253" s="5"/>
      <c r="G253" s="6" t="str">
        <f t="shared" si="16"/>
        <v/>
      </c>
    </row>
    <row r="254" spans="2:7" x14ac:dyDescent="0.2">
      <c r="C254" s="25"/>
      <c r="D254" s="2"/>
      <c r="E254" s="5"/>
      <c r="F254" s="5"/>
      <c r="G254" s="6" t="str">
        <f t="shared" si="16"/>
        <v/>
      </c>
    </row>
    <row r="255" spans="2:7" x14ac:dyDescent="0.2">
      <c r="C255" s="25"/>
      <c r="D255" s="2"/>
      <c r="E255" s="5"/>
      <c r="F255" s="5"/>
      <c r="G255" s="6" t="str">
        <f t="shared" si="16"/>
        <v/>
      </c>
    </row>
    <row r="256" spans="2:7" x14ac:dyDescent="0.2">
      <c r="C256" s="25"/>
      <c r="D256" s="2"/>
      <c r="E256" s="5"/>
      <c r="F256" s="5"/>
      <c r="G256" s="6" t="str">
        <f t="shared" si="16"/>
        <v/>
      </c>
    </row>
    <row r="257" spans="2:7" x14ac:dyDescent="0.2">
      <c r="B257" s="13">
        <f>G257</f>
        <v>0</v>
      </c>
      <c r="C257" s="29"/>
      <c r="D257" s="7"/>
      <c r="E257" s="7"/>
      <c r="F257" s="8" t="s">
        <v>5</v>
      </c>
      <c r="G257" s="9">
        <f>SUM(G247:G256)</f>
        <v>0</v>
      </c>
    </row>
    <row r="258" spans="2:7" x14ac:dyDescent="0.2">
      <c r="C258" s="36">
        <f>C245+1</f>
        <v>44030</v>
      </c>
      <c r="D258" s="37"/>
      <c r="E258" s="37"/>
      <c r="F258" s="37"/>
      <c r="G258" s="38"/>
    </row>
    <row r="259" spans="2:7" x14ac:dyDescent="0.2">
      <c r="C259" s="25" t="s">
        <v>0</v>
      </c>
      <c r="D259" s="2" t="s">
        <v>1</v>
      </c>
      <c r="E259" s="3" t="s">
        <v>2</v>
      </c>
      <c r="F259" s="3" t="s">
        <v>3</v>
      </c>
      <c r="G259" s="4" t="s">
        <v>4</v>
      </c>
    </row>
    <row r="260" spans="2:7" x14ac:dyDescent="0.2">
      <c r="C260" s="25"/>
      <c r="D260" s="17"/>
      <c r="E260" s="5"/>
      <c r="F260" s="5"/>
      <c r="G260" s="6" t="str">
        <f t="shared" ref="G260:G269" si="17">IF(ISBLANK(E260),"",(E260-F260-(E260*0.014+0.25)))</f>
        <v/>
      </c>
    </row>
    <row r="261" spans="2:7" x14ac:dyDescent="0.2">
      <c r="C261" s="25"/>
      <c r="D261" s="2"/>
      <c r="E261" s="5"/>
      <c r="F261" s="5"/>
      <c r="G261" s="6" t="str">
        <f t="shared" si="17"/>
        <v/>
      </c>
    </row>
    <row r="262" spans="2:7" x14ac:dyDescent="0.2">
      <c r="C262" s="25"/>
      <c r="D262" s="2"/>
      <c r="E262" s="5"/>
      <c r="F262" s="5"/>
      <c r="G262" s="6" t="str">
        <f t="shared" si="17"/>
        <v/>
      </c>
    </row>
    <row r="263" spans="2:7" x14ac:dyDescent="0.2">
      <c r="C263" s="25"/>
      <c r="D263" s="2"/>
      <c r="E263" s="5"/>
      <c r="F263" s="5"/>
      <c r="G263" s="6" t="str">
        <f t="shared" si="17"/>
        <v/>
      </c>
    </row>
    <row r="264" spans="2:7" x14ac:dyDescent="0.2">
      <c r="C264" s="25"/>
      <c r="D264" s="2"/>
      <c r="E264" s="5"/>
      <c r="F264" s="5"/>
      <c r="G264" s="6" t="str">
        <f t="shared" si="17"/>
        <v/>
      </c>
    </row>
    <row r="265" spans="2:7" x14ac:dyDescent="0.2">
      <c r="C265" s="25"/>
      <c r="D265" s="2"/>
      <c r="E265" s="5"/>
      <c r="F265" s="5"/>
      <c r="G265" s="6" t="str">
        <f t="shared" si="17"/>
        <v/>
      </c>
    </row>
    <row r="266" spans="2:7" x14ac:dyDescent="0.2">
      <c r="C266" s="25"/>
      <c r="D266" s="2"/>
      <c r="E266" s="5"/>
      <c r="F266" s="5"/>
      <c r="G266" s="6" t="str">
        <f t="shared" si="17"/>
        <v/>
      </c>
    </row>
    <row r="267" spans="2:7" x14ac:dyDescent="0.2">
      <c r="C267" s="25"/>
      <c r="D267" s="2"/>
      <c r="E267" s="5"/>
      <c r="F267" s="5"/>
      <c r="G267" s="6" t="str">
        <f t="shared" si="17"/>
        <v/>
      </c>
    </row>
    <row r="268" spans="2:7" x14ac:dyDescent="0.2">
      <c r="C268" s="25"/>
      <c r="D268" s="2"/>
      <c r="E268" s="5"/>
      <c r="F268" s="5"/>
      <c r="G268" s="6" t="str">
        <f t="shared" si="17"/>
        <v/>
      </c>
    </row>
    <row r="269" spans="2:7" x14ac:dyDescent="0.2">
      <c r="C269" s="25"/>
      <c r="D269" s="2"/>
      <c r="E269" s="5"/>
      <c r="F269" s="5"/>
      <c r="G269" s="6" t="str">
        <f t="shared" si="17"/>
        <v/>
      </c>
    </row>
    <row r="270" spans="2:7" x14ac:dyDescent="0.2">
      <c r="B270" s="13">
        <f>G270</f>
        <v>0</v>
      </c>
      <c r="C270" s="29"/>
      <c r="D270" s="7"/>
      <c r="E270" s="7"/>
      <c r="F270" s="8" t="s">
        <v>5</v>
      </c>
      <c r="G270" s="9">
        <f>SUM(G260:G269)</f>
        <v>0</v>
      </c>
    </row>
    <row r="271" spans="2:7" x14ac:dyDescent="0.2">
      <c r="C271" s="36">
        <f>C258+1</f>
        <v>44031</v>
      </c>
      <c r="D271" s="37"/>
      <c r="E271" s="37"/>
      <c r="F271" s="37"/>
      <c r="G271" s="38"/>
    </row>
    <row r="272" spans="2:7" x14ac:dyDescent="0.2">
      <c r="C272" s="25" t="s">
        <v>0</v>
      </c>
      <c r="D272" s="2" t="s">
        <v>1</v>
      </c>
      <c r="E272" s="3" t="s">
        <v>2</v>
      </c>
      <c r="F272" s="3" t="s">
        <v>3</v>
      </c>
      <c r="G272" s="4" t="s">
        <v>4</v>
      </c>
    </row>
    <row r="273" spans="2:7" x14ac:dyDescent="0.2">
      <c r="C273" s="25"/>
      <c r="D273" s="2"/>
      <c r="E273" s="5"/>
      <c r="F273" s="5"/>
      <c r="G273" s="6" t="str">
        <f t="shared" ref="G273:G286" si="18">IF(ISBLANK(E273),"",(E273-F273-(E273*0.014+0.25)))</f>
        <v/>
      </c>
    </row>
    <row r="274" spans="2:7" x14ac:dyDescent="0.2">
      <c r="C274" s="25"/>
      <c r="D274" s="2"/>
      <c r="E274" s="5"/>
      <c r="F274" s="5"/>
      <c r="G274" s="6" t="str">
        <f t="shared" si="18"/>
        <v/>
      </c>
    </row>
    <row r="275" spans="2:7" x14ac:dyDescent="0.2">
      <c r="C275" s="25"/>
      <c r="D275" s="2"/>
      <c r="E275" s="5"/>
      <c r="F275" s="5"/>
      <c r="G275" s="6" t="str">
        <f t="shared" si="18"/>
        <v/>
      </c>
    </row>
    <row r="276" spans="2:7" x14ac:dyDescent="0.2">
      <c r="C276" s="25"/>
      <c r="D276" s="2"/>
      <c r="E276" s="5"/>
      <c r="F276" s="5"/>
      <c r="G276" s="6" t="str">
        <f t="shared" si="18"/>
        <v/>
      </c>
    </row>
    <row r="277" spans="2:7" x14ac:dyDescent="0.2">
      <c r="C277" s="25"/>
      <c r="D277" s="2"/>
      <c r="E277" s="5"/>
      <c r="F277" s="5"/>
      <c r="G277" s="6" t="str">
        <f t="shared" si="18"/>
        <v/>
      </c>
    </row>
    <row r="278" spans="2:7" x14ac:dyDescent="0.2">
      <c r="C278" s="25"/>
      <c r="D278" s="2"/>
      <c r="E278" s="5"/>
      <c r="F278" s="5"/>
      <c r="G278" s="6" t="str">
        <f t="shared" si="18"/>
        <v/>
      </c>
    </row>
    <row r="279" spans="2:7" x14ac:dyDescent="0.2">
      <c r="C279" s="25"/>
      <c r="D279" s="2"/>
      <c r="E279" s="5"/>
      <c r="F279" s="5"/>
      <c r="G279" s="6" t="str">
        <f t="shared" si="18"/>
        <v/>
      </c>
    </row>
    <row r="280" spans="2:7" x14ac:dyDescent="0.2">
      <c r="C280" s="25"/>
      <c r="D280" s="2"/>
      <c r="E280" s="5"/>
      <c r="F280" s="5"/>
      <c r="G280" s="6" t="str">
        <f t="shared" si="18"/>
        <v/>
      </c>
    </row>
    <row r="281" spans="2:7" x14ac:dyDescent="0.2">
      <c r="C281" s="25"/>
      <c r="D281" s="2"/>
      <c r="E281" s="5"/>
      <c r="F281" s="5"/>
      <c r="G281" s="6" t="str">
        <f t="shared" si="18"/>
        <v/>
      </c>
    </row>
    <row r="282" spans="2:7" x14ac:dyDescent="0.2">
      <c r="C282" s="25"/>
      <c r="D282" s="2"/>
      <c r="E282" s="5"/>
      <c r="F282" s="5"/>
      <c r="G282" s="6" t="str">
        <f t="shared" si="18"/>
        <v/>
      </c>
    </row>
    <row r="283" spans="2:7" x14ac:dyDescent="0.2">
      <c r="C283" s="25"/>
      <c r="D283" s="2"/>
      <c r="E283" s="5"/>
      <c r="F283" s="5"/>
      <c r="G283" s="6" t="str">
        <f t="shared" si="18"/>
        <v/>
      </c>
    </row>
    <row r="284" spans="2:7" x14ac:dyDescent="0.2">
      <c r="C284" s="25"/>
      <c r="D284" s="2"/>
      <c r="E284" s="5"/>
      <c r="F284" s="5"/>
      <c r="G284" s="6" t="str">
        <f t="shared" si="18"/>
        <v/>
      </c>
    </row>
    <row r="285" spans="2:7" x14ac:dyDescent="0.2">
      <c r="C285" s="25"/>
      <c r="D285" s="2"/>
      <c r="E285" s="5"/>
      <c r="F285" s="5"/>
      <c r="G285" s="6" t="str">
        <f t="shared" si="18"/>
        <v/>
      </c>
    </row>
    <row r="286" spans="2:7" x14ac:dyDescent="0.2">
      <c r="C286" s="25"/>
      <c r="D286" s="2"/>
      <c r="E286" s="5"/>
      <c r="F286" s="5"/>
      <c r="G286" s="6" t="str">
        <f t="shared" si="18"/>
        <v/>
      </c>
    </row>
    <row r="287" spans="2:7" x14ac:dyDescent="0.2">
      <c r="B287" s="13">
        <f>G287</f>
        <v>0</v>
      </c>
      <c r="C287" s="29"/>
      <c r="D287" s="7"/>
      <c r="E287" s="7"/>
      <c r="F287" s="8" t="s">
        <v>5</v>
      </c>
      <c r="G287" s="9">
        <f>SUM(G273:G286)</f>
        <v>0</v>
      </c>
    </row>
    <row r="288" spans="2:7" x14ac:dyDescent="0.2">
      <c r="C288" s="36">
        <f>C271+1</f>
        <v>44032</v>
      </c>
      <c r="D288" s="37"/>
      <c r="E288" s="37"/>
      <c r="F288" s="37"/>
      <c r="G288" s="38"/>
    </row>
    <row r="289" spans="2:7" x14ac:dyDescent="0.2">
      <c r="C289" s="25" t="s">
        <v>0</v>
      </c>
      <c r="D289" s="2" t="s">
        <v>1</v>
      </c>
      <c r="E289" s="3" t="s">
        <v>2</v>
      </c>
      <c r="F289" s="3" t="s">
        <v>3</v>
      </c>
      <c r="G289" s="4" t="s">
        <v>4</v>
      </c>
    </row>
    <row r="290" spans="2:7" x14ac:dyDescent="0.2">
      <c r="C290" s="25"/>
      <c r="D290" s="2"/>
      <c r="E290" s="5"/>
      <c r="F290" s="5"/>
      <c r="G290" s="6" t="str">
        <f t="shared" ref="G290:G303" si="19">IF(ISBLANK(E290),"",(E290-F290-(E290*0.014+0.25)))</f>
        <v/>
      </c>
    </row>
    <row r="291" spans="2:7" x14ac:dyDescent="0.2">
      <c r="C291" s="25"/>
      <c r="D291" s="2"/>
      <c r="E291" s="5"/>
      <c r="F291" s="5"/>
      <c r="G291" s="6" t="str">
        <f t="shared" si="19"/>
        <v/>
      </c>
    </row>
    <row r="292" spans="2:7" x14ac:dyDescent="0.2">
      <c r="C292" s="25"/>
      <c r="D292" s="2"/>
      <c r="E292" s="5"/>
      <c r="F292" s="5"/>
      <c r="G292" s="6" t="str">
        <f t="shared" si="19"/>
        <v/>
      </c>
    </row>
    <row r="293" spans="2:7" x14ac:dyDescent="0.2">
      <c r="C293" s="25"/>
      <c r="D293" s="2"/>
      <c r="E293" s="5"/>
      <c r="F293" s="5"/>
      <c r="G293" s="6" t="str">
        <f t="shared" si="19"/>
        <v/>
      </c>
    </row>
    <row r="294" spans="2:7" x14ac:dyDescent="0.2">
      <c r="C294" s="25"/>
      <c r="D294" s="2"/>
      <c r="E294" s="5"/>
      <c r="F294" s="5"/>
      <c r="G294" s="6" t="str">
        <f t="shared" si="19"/>
        <v/>
      </c>
    </row>
    <row r="295" spans="2:7" x14ac:dyDescent="0.2">
      <c r="C295" s="25"/>
      <c r="D295" s="2"/>
      <c r="E295" s="5"/>
      <c r="F295" s="5"/>
      <c r="G295" s="6" t="str">
        <f t="shared" si="19"/>
        <v/>
      </c>
    </row>
    <row r="296" spans="2:7" x14ac:dyDescent="0.2">
      <c r="C296" s="25"/>
      <c r="D296" s="2"/>
      <c r="E296" s="5"/>
      <c r="F296" s="5"/>
      <c r="G296" s="6" t="str">
        <f t="shared" si="19"/>
        <v/>
      </c>
    </row>
    <row r="297" spans="2:7" x14ac:dyDescent="0.2">
      <c r="C297" s="25"/>
      <c r="D297" s="2"/>
      <c r="E297" s="5"/>
      <c r="F297" s="5"/>
      <c r="G297" s="6" t="str">
        <f t="shared" si="19"/>
        <v/>
      </c>
    </row>
    <row r="298" spans="2:7" x14ac:dyDescent="0.2">
      <c r="C298" s="25"/>
      <c r="D298" s="2"/>
      <c r="E298" s="5"/>
      <c r="F298" s="5"/>
      <c r="G298" s="6" t="str">
        <f t="shared" si="19"/>
        <v/>
      </c>
    </row>
    <row r="299" spans="2:7" x14ac:dyDescent="0.2">
      <c r="C299" s="25"/>
      <c r="D299" s="2"/>
      <c r="E299" s="5"/>
      <c r="F299" s="5"/>
      <c r="G299" s="6" t="str">
        <f t="shared" si="19"/>
        <v/>
      </c>
    </row>
    <row r="300" spans="2:7" x14ac:dyDescent="0.2">
      <c r="C300" s="25"/>
      <c r="D300" s="2"/>
      <c r="E300" s="5"/>
      <c r="F300" s="5"/>
      <c r="G300" s="6" t="str">
        <f t="shared" si="19"/>
        <v/>
      </c>
    </row>
    <row r="301" spans="2:7" x14ac:dyDescent="0.2">
      <c r="C301" s="25"/>
      <c r="D301" s="2"/>
      <c r="E301" s="5"/>
      <c r="F301" s="5"/>
      <c r="G301" s="6" t="str">
        <f t="shared" si="19"/>
        <v/>
      </c>
    </row>
    <row r="302" spans="2:7" x14ac:dyDescent="0.2">
      <c r="C302" s="25"/>
      <c r="D302" s="2"/>
      <c r="E302" s="5"/>
      <c r="F302" s="5"/>
      <c r="G302" s="6" t="str">
        <f t="shared" si="19"/>
        <v/>
      </c>
    </row>
    <row r="303" spans="2:7" x14ac:dyDescent="0.2">
      <c r="C303" s="25"/>
      <c r="D303" s="2"/>
      <c r="E303" s="5"/>
      <c r="F303" s="5"/>
      <c r="G303" s="6" t="str">
        <f t="shared" si="19"/>
        <v/>
      </c>
    </row>
    <row r="304" spans="2:7" x14ac:dyDescent="0.2">
      <c r="B304" s="13">
        <f>G304</f>
        <v>0</v>
      </c>
      <c r="C304" s="29"/>
      <c r="D304" s="7"/>
      <c r="E304" s="7"/>
      <c r="F304" s="8" t="s">
        <v>5</v>
      </c>
      <c r="G304" s="9">
        <f>SUM(G290:G303)</f>
        <v>0</v>
      </c>
    </row>
    <row r="305" spans="2:7" x14ac:dyDescent="0.2">
      <c r="C305" s="36">
        <f>C288+1</f>
        <v>44033</v>
      </c>
      <c r="D305" s="37"/>
      <c r="E305" s="37"/>
      <c r="F305" s="37"/>
      <c r="G305" s="38"/>
    </row>
    <row r="306" spans="2:7" x14ac:dyDescent="0.2">
      <c r="C306" s="25" t="s">
        <v>0</v>
      </c>
      <c r="D306" s="2" t="s">
        <v>1</v>
      </c>
      <c r="E306" s="3" t="s">
        <v>2</v>
      </c>
      <c r="F306" s="3" t="s">
        <v>3</v>
      </c>
      <c r="G306" s="4" t="s">
        <v>4</v>
      </c>
    </row>
    <row r="307" spans="2:7" x14ac:dyDescent="0.2">
      <c r="C307" s="25"/>
      <c r="D307" s="2"/>
      <c r="E307" s="5"/>
      <c r="F307" s="5"/>
      <c r="G307" s="6" t="str">
        <f t="shared" ref="G307:G316" si="20">IF(ISBLANK(E307),"",(E307-F307-(E307*0.014+0.25)))</f>
        <v/>
      </c>
    </row>
    <row r="308" spans="2:7" x14ac:dyDescent="0.2">
      <c r="C308" s="25"/>
      <c r="D308" s="2"/>
      <c r="E308" s="5"/>
      <c r="F308" s="5"/>
      <c r="G308" s="6" t="str">
        <f t="shared" si="20"/>
        <v/>
      </c>
    </row>
    <row r="309" spans="2:7" x14ac:dyDescent="0.2">
      <c r="C309" s="25"/>
      <c r="D309" s="2"/>
      <c r="E309" s="5"/>
      <c r="F309" s="5"/>
      <c r="G309" s="6" t="str">
        <f t="shared" si="20"/>
        <v/>
      </c>
    </row>
    <row r="310" spans="2:7" x14ac:dyDescent="0.2">
      <c r="C310" s="25"/>
      <c r="D310" s="2"/>
      <c r="E310" s="5"/>
      <c r="F310" s="5"/>
      <c r="G310" s="6" t="str">
        <f t="shared" si="20"/>
        <v/>
      </c>
    </row>
    <row r="311" spans="2:7" x14ac:dyDescent="0.2">
      <c r="C311" s="25"/>
      <c r="D311" s="2"/>
      <c r="E311" s="5"/>
      <c r="F311" s="5"/>
      <c r="G311" s="6" t="str">
        <f t="shared" si="20"/>
        <v/>
      </c>
    </row>
    <row r="312" spans="2:7" x14ac:dyDescent="0.2">
      <c r="C312" s="25"/>
      <c r="D312" s="2"/>
      <c r="E312" s="5"/>
      <c r="F312" s="5"/>
      <c r="G312" s="6" t="str">
        <f t="shared" si="20"/>
        <v/>
      </c>
    </row>
    <row r="313" spans="2:7" x14ac:dyDescent="0.2">
      <c r="C313" s="25"/>
      <c r="D313" s="2"/>
      <c r="E313" s="5"/>
      <c r="F313" s="5"/>
      <c r="G313" s="6" t="str">
        <f t="shared" si="20"/>
        <v/>
      </c>
    </row>
    <row r="314" spans="2:7" x14ac:dyDescent="0.2">
      <c r="C314" s="25"/>
      <c r="D314" s="2"/>
      <c r="E314" s="5"/>
      <c r="F314" s="5"/>
      <c r="G314" s="6" t="str">
        <f t="shared" si="20"/>
        <v/>
      </c>
    </row>
    <row r="315" spans="2:7" x14ac:dyDescent="0.2">
      <c r="C315" s="25"/>
      <c r="D315" s="2"/>
      <c r="E315" s="5"/>
      <c r="F315" s="5"/>
      <c r="G315" s="6" t="str">
        <f t="shared" si="20"/>
        <v/>
      </c>
    </row>
    <row r="316" spans="2:7" x14ac:dyDescent="0.2">
      <c r="C316" s="25"/>
      <c r="D316" s="2"/>
      <c r="E316" s="5"/>
      <c r="F316" s="5"/>
      <c r="G316" s="6" t="str">
        <f t="shared" si="20"/>
        <v/>
      </c>
    </row>
    <row r="317" spans="2:7" x14ac:dyDescent="0.2">
      <c r="B317" s="13">
        <f>G317</f>
        <v>0</v>
      </c>
      <c r="C317" s="29"/>
      <c r="D317" s="7"/>
      <c r="E317" s="7"/>
      <c r="F317" s="8" t="s">
        <v>5</v>
      </c>
      <c r="G317" s="9">
        <f>SUM(G307:G316)</f>
        <v>0</v>
      </c>
    </row>
    <row r="318" spans="2:7" x14ac:dyDescent="0.2">
      <c r="C318" s="36">
        <f>C305+1</f>
        <v>44034</v>
      </c>
      <c r="D318" s="37"/>
      <c r="E318" s="37"/>
      <c r="F318" s="37"/>
      <c r="G318" s="38"/>
    </row>
    <row r="319" spans="2:7" x14ac:dyDescent="0.2">
      <c r="C319" s="25" t="s">
        <v>0</v>
      </c>
      <c r="D319" s="2" t="s">
        <v>1</v>
      </c>
      <c r="E319" s="3" t="s">
        <v>2</v>
      </c>
      <c r="F319" s="3" t="s">
        <v>3</v>
      </c>
      <c r="G319" s="4" t="s">
        <v>4</v>
      </c>
    </row>
    <row r="320" spans="2:7" x14ac:dyDescent="0.2">
      <c r="C320" s="25"/>
      <c r="D320" s="2"/>
      <c r="E320" s="5"/>
      <c r="F320" s="5"/>
      <c r="G320" s="6" t="str">
        <f t="shared" ref="G320:G330" si="21">IF(ISBLANK(E320),"",(E320-F320-(E320*0.014+0.25)))</f>
        <v/>
      </c>
    </row>
    <row r="321" spans="2:7" x14ac:dyDescent="0.2">
      <c r="C321" s="25"/>
      <c r="D321" s="2"/>
      <c r="E321" s="5"/>
      <c r="F321" s="5"/>
      <c r="G321" s="6" t="str">
        <f t="shared" si="21"/>
        <v/>
      </c>
    </row>
    <row r="322" spans="2:7" x14ac:dyDescent="0.2">
      <c r="C322" s="25"/>
      <c r="D322" s="2"/>
      <c r="E322" s="5"/>
      <c r="F322" s="5"/>
      <c r="G322" s="6" t="str">
        <f t="shared" si="21"/>
        <v/>
      </c>
    </row>
    <row r="323" spans="2:7" x14ac:dyDescent="0.2">
      <c r="C323" s="25"/>
      <c r="D323" s="2"/>
      <c r="E323" s="5"/>
      <c r="F323" s="5"/>
      <c r="G323" s="6" t="str">
        <f t="shared" si="21"/>
        <v/>
      </c>
    </row>
    <row r="324" spans="2:7" x14ac:dyDescent="0.2">
      <c r="C324" s="25"/>
      <c r="D324" s="2"/>
      <c r="E324" s="5"/>
      <c r="F324" s="5"/>
      <c r="G324" s="6" t="str">
        <f t="shared" si="21"/>
        <v/>
      </c>
    </row>
    <row r="325" spans="2:7" x14ac:dyDescent="0.2">
      <c r="C325" s="25"/>
      <c r="D325" s="2"/>
      <c r="E325" s="5"/>
      <c r="F325" s="5"/>
      <c r="G325" s="6" t="str">
        <f t="shared" si="21"/>
        <v/>
      </c>
    </row>
    <row r="326" spans="2:7" x14ac:dyDescent="0.2">
      <c r="C326" s="25"/>
      <c r="D326" s="2"/>
      <c r="E326" s="5"/>
      <c r="F326" s="5"/>
      <c r="G326" s="6" t="str">
        <f t="shared" si="21"/>
        <v/>
      </c>
    </row>
    <row r="327" spans="2:7" x14ac:dyDescent="0.2">
      <c r="C327" s="25"/>
      <c r="D327" s="2"/>
      <c r="E327" s="5"/>
      <c r="F327" s="5"/>
      <c r="G327" s="6" t="str">
        <f t="shared" si="21"/>
        <v/>
      </c>
    </row>
    <row r="328" spans="2:7" x14ac:dyDescent="0.2">
      <c r="C328" s="25"/>
      <c r="D328" s="2"/>
      <c r="E328" s="5"/>
      <c r="F328" s="5"/>
      <c r="G328" s="6" t="str">
        <f t="shared" si="21"/>
        <v/>
      </c>
    </row>
    <row r="329" spans="2:7" x14ac:dyDescent="0.2">
      <c r="C329" s="25"/>
      <c r="D329" s="2"/>
      <c r="E329" s="5"/>
      <c r="F329" s="5"/>
      <c r="G329" s="6" t="str">
        <f t="shared" si="21"/>
        <v/>
      </c>
    </row>
    <row r="330" spans="2:7" x14ac:dyDescent="0.2">
      <c r="C330" s="25"/>
      <c r="D330" s="2"/>
      <c r="E330" s="5"/>
      <c r="F330" s="5"/>
      <c r="G330" s="6" t="str">
        <f t="shared" si="21"/>
        <v/>
      </c>
    </row>
    <row r="331" spans="2:7" x14ac:dyDescent="0.2">
      <c r="B331" s="13">
        <f>G331</f>
        <v>0</v>
      </c>
      <c r="C331" s="29"/>
      <c r="D331" s="7"/>
      <c r="E331" s="7"/>
      <c r="F331" s="8" t="s">
        <v>5</v>
      </c>
      <c r="G331" s="9">
        <f>SUM(G320:G330)</f>
        <v>0</v>
      </c>
    </row>
    <row r="332" spans="2:7" x14ac:dyDescent="0.2">
      <c r="C332" s="36">
        <f>C318+1</f>
        <v>44035</v>
      </c>
      <c r="D332" s="37"/>
      <c r="E332" s="37"/>
      <c r="F332" s="37"/>
      <c r="G332" s="38"/>
    </row>
    <row r="333" spans="2:7" x14ac:dyDescent="0.2">
      <c r="C333" s="25" t="s">
        <v>0</v>
      </c>
      <c r="D333" s="2" t="s">
        <v>1</v>
      </c>
      <c r="E333" s="3" t="s">
        <v>2</v>
      </c>
      <c r="F333" s="3" t="s">
        <v>3</v>
      </c>
      <c r="G333" s="4" t="s">
        <v>4</v>
      </c>
    </row>
    <row r="334" spans="2:7" x14ac:dyDescent="0.2">
      <c r="C334" s="25"/>
      <c r="D334" s="2"/>
      <c r="E334" s="5"/>
      <c r="F334" s="5"/>
      <c r="G334" s="6" t="str">
        <f t="shared" ref="G334:G344" si="22">IF(ISBLANK(E334),"",(E334-F334-(E334*0.014+0.25)))</f>
        <v/>
      </c>
    </row>
    <row r="335" spans="2:7" x14ac:dyDescent="0.2">
      <c r="C335" s="25"/>
      <c r="D335" s="2"/>
      <c r="E335" s="5"/>
      <c r="F335" s="5"/>
      <c r="G335" s="6" t="str">
        <f t="shared" si="22"/>
        <v/>
      </c>
    </row>
    <row r="336" spans="2:7" x14ac:dyDescent="0.2">
      <c r="C336" s="25"/>
      <c r="D336" s="2"/>
      <c r="E336" s="5"/>
      <c r="F336" s="5"/>
      <c r="G336" s="6" t="str">
        <f t="shared" si="22"/>
        <v/>
      </c>
    </row>
    <row r="337" spans="2:7" x14ac:dyDescent="0.2">
      <c r="C337" s="25"/>
      <c r="D337" s="2"/>
      <c r="E337" s="5"/>
      <c r="F337" s="5"/>
      <c r="G337" s="6" t="str">
        <f t="shared" si="22"/>
        <v/>
      </c>
    </row>
    <row r="338" spans="2:7" x14ac:dyDescent="0.2">
      <c r="C338" s="25"/>
      <c r="D338" s="2"/>
      <c r="E338" s="5"/>
      <c r="F338" s="5"/>
      <c r="G338" s="6" t="str">
        <f t="shared" si="22"/>
        <v/>
      </c>
    </row>
    <row r="339" spans="2:7" x14ac:dyDescent="0.2">
      <c r="C339" s="25"/>
      <c r="D339" s="2"/>
      <c r="E339" s="5"/>
      <c r="F339" s="5"/>
      <c r="G339" s="6" t="str">
        <f t="shared" si="22"/>
        <v/>
      </c>
    </row>
    <row r="340" spans="2:7" x14ac:dyDescent="0.2">
      <c r="C340" s="25"/>
      <c r="D340" s="2"/>
      <c r="E340" s="5"/>
      <c r="F340" s="5"/>
      <c r="G340" s="6" t="str">
        <f t="shared" si="22"/>
        <v/>
      </c>
    </row>
    <row r="341" spans="2:7" x14ac:dyDescent="0.2">
      <c r="C341" s="25"/>
      <c r="D341" s="2"/>
      <c r="E341" s="5"/>
      <c r="F341" s="5"/>
      <c r="G341" s="6" t="str">
        <f t="shared" si="22"/>
        <v/>
      </c>
    </row>
    <row r="342" spans="2:7" x14ac:dyDescent="0.2">
      <c r="C342" s="25"/>
      <c r="D342" s="2"/>
      <c r="E342" s="5"/>
      <c r="F342" s="5"/>
      <c r="G342" s="6" t="str">
        <f t="shared" si="22"/>
        <v/>
      </c>
    </row>
    <row r="343" spans="2:7" x14ac:dyDescent="0.2">
      <c r="C343" s="25"/>
      <c r="D343" s="2"/>
      <c r="E343" s="5"/>
      <c r="F343" s="5"/>
      <c r="G343" s="6" t="str">
        <f t="shared" si="22"/>
        <v/>
      </c>
    </row>
    <row r="344" spans="2:7" x14ac:dyDescent="0.2">
      <c r="C344" s="25"/>
      <c r="D344" s="2"/>
      <c r="E344" s="5"/>
      <c r="F344" s="5"/>
      <c r="G344" s="6" t="str">
        <f t="shared" si="22"/>
        <v/>
      </c>
    </row>
    <row r="345" spans="2:7" x14ac:dyDescent="0.2">
      <c r="B345" s="13">
        <f>G345</f>
        <v>0</v>
      </c>
      <c r="C345" s="29"/>
      <c r="D345" s="7"/>
      <c r="E345" s="7"/>
      <c r="F345" s="8" t="s">
        <v>5</v>
      </c>
      <c r="G345" s="9">
        <f>SUM(G334:G344)</f>
        <v>0</v>
      </c>
    </row>
    <row r="346" spans="2:7" x14ac:dyDescent="0.2">
      <c r="C346" s="36">
        <f>C332+1</f>
        <v>44036</v>
      </c>
      <c r="D346" s="37"/>
      <c r="E346" s="37"/>
      <c r="F346" s="37"/>
      <c r="G346" s="38"/>
    </row>
    <row r="347" spans="2:7" x14ac:dyDescent="0.2">
      <c r="C347" s="25" t="s">
        <v>0</v>
      </c>
      <c r="D347" s="2" t="s">
        <v>1</v>
      </c>
      <c r="E347" s="3" t="s">
        <v>2</v>
      </c>
      <c r="F347" s="3" t="s">
        <v>3</v>
      </c>
      <c r="G347" s="4" t="s">
        <v>4</v>
      </c>
    </row>
    <row r="348" spans="2:7" x14ac:dyDescent="0.2">
      <c r="C348" s="25"/>
      <c r="D348" s="2"/>
      <c r="E348" s="5"/>
      <c r="F348" s="5"/>
      <c r="G348" s="6" t="str">
        <f t="shared" ref="G348:G350" si="23">IF(ISBLANK(E348),"",(E348-F348-(E348*0.014+0.25)))</f>
        <v/>
      </c>
    </row>
    <row r="349" spans="2:7" x14ac:dyDescent="0.2">
      <c r="C349" s="25"/>
      <c r="D349" s="2"/>
      <c r="E349" s="5"/>
      <c r="F349" s="5"/>
      <c r="G349" s="6" t="str">
        <f t="shared" si="23"/>
        <v/>
      </c>
    </row>
    <row r="350" spans="2:7" x14ac:dyDescent="0.2">
      <c r="C350" s="25"/>
      <c r="D350" s="2"/>
      <c r="E350" s="5"/>
      <c r="F350" s="5"/>
      <c r="G350" s="6" t="str">
        <f t="shared" si="23"/>
        <v/>
      </c>
    </row>
    <row r="351" spans="2:7" x14ac:dyDescent="0.2">
      <c r="C351" s="25"/>
      <c r="D351" s="2"/>
      <c r="E351" s="5"/>
      <c r="F351" s="5"/>
      <c r="G351" s="6" t="str">
        <f t="shared" ref="G351:G361" si="24">IF(ISBLANK(E351),"",(E351-F351-(E351*0.014+0.25)))</f>
        <v/>
      </c>
    </row>
    <row r="352" spans="2:7" x14ac:dyDescent="0.2">
      <c r="C352" s="25"/>
      <c r="D352" s="2"/>
      <c r="E352" s="5"/>
      <c r="F352" s="5"/>
      <c r="G352" s="6" t="str">
        <f t="shared" si="24"/>
        <v/>
      </c>
    </row>
    <row r="353" spans="2:7" x14ac:dyDescent="0.2">
      <c r="C353" s="25"/>
      <c r="D353" s="2"/>
      <c r="E353" s="5"/>
      <c r="F353" s="5"/>
      <c r="G353" s="6" t="str">
        <f t="shared" si="24"/>
        <v/>
      </c>
    </row>
    <row r="354" spans="2:7" x14ac:dyDescent="0.2">
      <c r="C354" s="25"/>
      <c r="D354" s="2"/>
      <c r="E354" s="5"/>
      <c r="F354" s="5"/>
      <c r="G354" s="6" t="str">
        <f t="shared" si="24"/>
        <v/>
      </c>
    </row>
    <row r="355" spans="2:7" x14ac:dyDescent="0.2">
      <c r="C355" s="25"/>
      <c r="D355" s="2"/>
      <c r="E355" s="5"/>
      <c r="F355" s="5"/>
      <c r="G355" s="6" t="str">
        <f t="shared" si="24"/>
        <v/>
      </c>
    </row>
    <row r="356" spans="2:7" x14ac:dyDescent="0.2">
      <c r="C356" s="25"/>
      <c r="D356" s="2"/>
      <c r="E356" s="5"/>
      <c r="F356" s="5"/>
      <c r="G356" s="6" t="str">
        <f t="shared" si="24"/>
        <v/>
      </c>
    </row>
    <row r="357" spans="2:7" x14ac:dyDescent="0.2">
      <c r="C357" s="25"/>
      <c r="D357" s="2"/>
      <c r="E357" s="5"/>
      <c r="F357" s="5"/>
      <c r="G357" s="6" t="str">
        <f t="shared" si="24"/>
        <v/>
      </c>
    </row>
    <row r="358" spans="2:7" x14ac:dyDescent="0.2">
      <c r="C358" s="25"/>
      <c r="D358" s="2"/>
      <c r="E358" s="5"/>
      <c r="F358" s="5"/>
      <c r="G358" s="6" t="str">
        <f t="shared" si="24"/>
        <v/>
      </c>
    </row>
    <row r="359" spans="2:7" x14ac:dyDescent="0.2">
      <c r="C359" s="25"/>
      <c r="D359" s="2"/>
      <c r="E359" s="5"/>
      <c r="F359" s="5"/>
      <c r="G359" s="6" t="str">
        <f t="shared" si="24"/>
        <v/>
      </c>
    </row>
    <row r="360" spans="2:7" x14ac:dyDescent="0.2">
      <c r="C360" s="25"/>
      <c r="D360" s="2"/>
      <c r="E360" s="5"/>
      <c r="F360" s="33"/>
      <c r="G360" s="6" t="str">
        <f t="shared" si="24"/>
        <v/>
      </c>
    </row>
    <row r="361" spans="2:7" x14ac:dyDescent="0.2">
      <c r="C361" s="25"/>
      <c r="D361" s="2"/>
      <c r="E361" s="5"/>
      <c r="F361" s="5"/>
      <c r="G361" s="6" t="str">
        <f t="shared" si="24"/>
        <v/>
      </c>
    </row>
    <row r="362" spans="2:7" x14ac:dyDescent="0.2">
      <c r="B362" s="13">
        <f>G362</f>
        <v>0</v>
      </c>
      <c r="C362" s="29"/>
      <c r="D362" s="7"/>
      <c r="E362" s="7"/>
      <c r="F362" s="8" t="s">
        <v>5</v>
      </c>
      <c r="G362" s="9">
        <f>SUM(G348:G361)</f>
        <v>0</v>
      </c>
    </row>
    <row r="363" spans="2:7" x14ac:dyDescent="0.2">
      <c r="C363" s="36">
        <f>C346+1</f>
        <v>44037</v>
      </c>
      <c r="D363" s="37"/>
      <c r="E363" s="37"/>
      <c r="F363" s="37"/>
      <c r="G363" s="38"/>
    </row>
    <row r="364" spans="2:7" x14ac:dyDescent="0.2">
      <c r="C364" s="25" t="s">
        <v>0</v>
      </c>
      <c r="D364" s="2" t="s">
        <v>1</v>
      </c>
      <c r="E364" s="3" t="s">
        <v>2</v>
      </c>
      <c r="F364" s="3" t="s">
        <v>3</v>
      </c>
      <c r="G364" s="4" t="s">
        <v>4</v>
      </c>
    </row>
    <row r="365" spans="2:7" x14ac:dyDescent="0.2">
      <c r="C365" s="25"/>
      <c r="D365" s="2"/>
      <c r="E365" s="5"/>
      <c r="F365" s="5"/>
      <c r="G365" s="6" t="str">
        <f t="shared" ref="G365:G378" si="25">IF(ISBLANK(E365),"",(E365-F365-(E365*0.014+0.25)))</f>
        <v/>
      </c>
    </row>
    <row r="366" spans="2:7" x14ac:dyDescent="0.2">
      <c r="C366" s="25"/>
      <c r="D366" s="2"/>
      <c r="E366" s="5"/>
      <c r="F366" s="5"/>
      <c r="G366" s="6" t="str">
        <f t="shared" si="25"/>
        <v/>
      </c>
    </row>
    <row r="367" spans="2:7" x14ac:dyDescent="0.2">
      <c r="C367" s="25"/>
      <c r="D367" s="2"/>
      <c r="E367" s="5"/>
      <c r="F367" s="5"/>
      <c r="G367" s="6" t="str">
        <f t="shared" si="25"/>
        <v/>
      </c>
    </row>
    <row r="368" spans="2:7" x14ac:dyDescent="0.2">
      <c r="C368" s="25"/>
      <c r="D368" s="2"/>
      <c r="E368" s="5"/>
      <c r="F368" s="5"/>
      <c r="G368" s="6" t="str">
        <f t="shared" si="25"/>
        <v/>
      </c>
    </row>
    <row r="369" spans="2:7" x14ac:dyDescent="0.2">
      <c r="C369" s="25"/>
      <c r="D369" s="2"/>
      <c r="E369" s="5"/>
      <c r="F369" s="5"/>
      <c r="G369" s="6" t="str">
        <f t="shared" si="25"/>
        <v/>
      </c>
    </row>
    <row r="370" spans="2:7" x14ac:dyDescent="0.2">
      <c r="C370" s="25"/>
      <c r="D370" s="2"/>
      <c r="E370" s="5"/>
      <c r="F370" s="5"/>
      <c r="G370" s="6" t="str">
        <f t="shared" si="25"/>
        <v/>
      </c>
    </row>
    <row r="371" spans="2:7" x14ac:dyDescent="0.2">
      <c r="C371" s="25"/>
      <c r="D371" s="2"/>
      <c r="E371" s="5"/>
      <c r="F371" s="5"/>
      <c r="G371" s="6" t="str">
        <f t="shared" si="25"/>
        <v/>
      </c>
    </row>
    <row r="372" spans="2:7" x14ac:dyDescent="0.2">
      <c r="C372" s="25"/>
      <c r="D372" s="2"/>
      <c r="E372" s="5"/>
      <c r="F372" s="5"/>
      <c r="G372" s="6" t="str">
        <f t="shared" si="25"/>
        <v/>
      </c>
    </row>
    <row r="373" spans="2:7" x14ac:dyDescent="0.2">
      <c r="C373" s="25"/>
      <c r="D373" s="2"/>
      <c r="E373" s="5"/>
      <c r="F373" s="5"/>
      <c r="G373" s="6" t="str">
        <f t="shared" si="25"/>
        <v/>
      </c>
    </row>
    <row r="374" spans="2:7" x14ac:dyDescent="0.2">
      <c r="C374" s="25"/>
      <c r="D374" s="2"/>
      <c r="E374" s="5"/>
      <c r="F374" s="5"/>
      <c r="G374" s="6" t="str">
        <f t="shared" si="25"/>
        <v/>
      </c>
    </row>
    <row r="375" spans="2:7" x14ac:dyDescent="0.2">
      <c r="C375" s="25"/>
      <c r="D375" s="2"/>
      <c r="E375" s="5"/>
      <c r="F375" s="5"/>
      <c r="G375" s="6" t="str">
        <f t="shared" si="25"/>
        <v/>
      </c>
    </row>
    <row r="376" spans="2:7" x14ac:dyDescent="0.2">
      <c r="C376" s="25"/>
      <c r="D376" s="2"/>
      <c r="E376" s="5"/>
      <c r="F376" s="5"/>
      <c r="G376" s="6" t="str">
        <f t="shared" si="25"/>
        <v/>
      </c>
    </row>
    <row r="377" spans="2:7" x14ac:dyDescent="0.2">
      <c r="C377" s="25"/>
      <c r="D377" s="2"/>
      <c r="E377" s="5"/>
      <c r="F377" s="5"/>
      <c r="G377" s="6" t="str">
        <f t="shared" si="25"/>
        <v/>
      </c>
    </row>
    <row r="378" spans="2:7" x14ac:dyDescent="0.2">
      <c r="C378" s="25"/>
      <c r="D378" s="2"/>
      <c r="E378" s="5"/>
      <c r="F378" s="5"/>
      <c r="G378" s="6" t="str">
        <f t="shared" si="25"/>
        <v/>
      </c>
    </row>
    <row r="379" spans="2:7" x14ac:dyDescent="0.2">
      <c r="B379" s="13">
        <f>G379</f>
        <v>0</v>
      </c>
      <c r="C379" s="29"/>
      <c r="D379" s="7"/>
      <c r="E379" s="7"/>
      <c r="F379" s="8" t="s">
        <v>5</v>
      </c>
      <c r="G379" s="9">
        <f>SUM(G365:G375)</f>
        <v>0</v>
      </c>
    </row>
    <row r="380" spans="2:7" x14ac:dyDescent="0.2">
      <c r="C380" s="36">
        <f>C363+1</f>
        <v>44038</v>
      </c>
      <c r="D380" s="37"/>
      <c r="E380" s="37"/>
      <c r="F380" s="37"/>
      <c r="G380" s="38"/>
    </row>
    <row r="381" spans="2:7" x14ac:dyDescent="0.2">
      <c r="C381" s="25" t="s">
        <v>0</v>
      </c>
      <c r="D381" s="2" t="s">
        <v>1</v>
      </c>
      <c r="E381" s="3" t="s">
        <v>2</v>
      </c>
      <c r="F381" s="3" t="s">
        <v>3</v>
      </c>
      <c r="G381" s="4" t="s">
        <v>4</v>
      </c>
    </row>
    <row r="382" spans="2:7" x14ac:dyDescent="0.2">
      <c r="C382" s="25"/>
      <c r="D382" s="2"/>
      <c r="E382" s="5"/>
      <c r="F382" s="5"/>
      <c r="G382" s="6" t="str">
        <f t="shared" ref="G382:G393" si="26">IF(ISBLANK(E382),"",(E382-F382-(E382*0.014+0.25)))</f>
        <v/>
      </c>
    </row>
    <row r="383" spans="2:7" x14ac:dyDescent="0.2">
      <c r="C383" s="25"/>
      <c r="D383" s="2"/>
      <c r="E383" s="5"/>
      <c r="F383" s="5"/>
      <c r="G383" s="6" t="str">
        <f t="shared" si="26"/>
        <v/>
      </c>
    </row>
    <row r="384" spans="2:7" x14ac:dyDescent="0.2">
      <c r="C384" s="25"/>
      <c r="D384" s="2"/>
      <c r="E384" s="5"/>
      <c r="F384" s="5"/>
      <c r="G384" s="6" t="str">
        <f t="shared" si="26"/>
        <v/>
      </c>
    </row>
    <row r="385" spans="2:7" x14ac:dyDescent="0.2">
      <c r="C385" s="25"/>
      <c r="D385" s="2"/>
      <c r="E385" s="5"/>
      <c r="F385" s="5"/>
      <c r="G385" s="6" t="str">
        <f t="shared" si="26"/>
        <v/>
      </c>
    </row>
    <row r="386" spans="2:7" x14ac:dyDescent="0.2">
      <c r="C386" s="25"/>
      <c r="D386" s="2"/>
      <c r="E386" s="5"/>
      <c r="F386" s="5"/>
      <c r="G386" s="6" t="str">
        <f t="shared" si="26"/>
        <v/>
      </c>
    </row>
    <row r="387" spans="2:7" x14ac:dyDescent="0.2">
      <c r="C387" s="25"/>
      <c r="D387" s="2"/>
      <c r="E387" s="5"/>
      <c r="F387" s="5"/>
      <c r="G387" s="6" t="str">
        <f t="shared" si="26"/>
        <v/>
      </c>
    </row>
    <row r="388" spans="2:7" x14ac:dyDescent="0.2">
      <c r="C388" s="25"/>
      <c r="D388" s="2"/>
      <c r="E388" s="5"/>
      <c r="F388" s="5"/>
      <c r="G388" s="6" t="str">
        <f t="shared" si="26"/>
        <v/>
      </c>
    </row>
    <row r="389" spans="2:7" x14ac:dyDescent="0.2">
      <c r="C389" s="25"/>
      <c r="D389" s="2"/>
      <c r="E389" s="5"/>
      <c r="F389" s="5"/>
      <c r="G389" s="6" t="str">
        <f t="shared" si="26"/>
        <v/>
      </c>
    </row>
    <row r="390" spans="2:7" x14ac:dyDescent="0.2">
      <c r="C390" s="25"/>
      <c r="D390" s="2"/>
      <c r="E390" s="5"/>
      <c r="F390" s="5"/>
      <c r="G390" s="6" t="str">
        <f t="shared" si="26"/>
        <v/>
      </c>
    </row>
    <row r="391" spans="2:7" x14ac:dyDescent="0.2">
      <c r="C391" s="25"/>
      <c r="D391" s="2"/>
      <c r="E391" s="5"/>
      <c r="F391" s="5"/>
      <c r="G391" s="6" t="str">
        <f t="shared" si="26"/>
        <v/>
      </c>
    </row>
    <row r="392" spans="2:7" x14ac:dyDescent="0.2">
      <c r="C392" s="25"/>
      <c r="D392" s="2"/>
      <c r="E392" s="5"/>
      <c r="F392" s="5"/>
      <c r="G392" s="6" t="str">
        <f t="shared" si="26"/>
        <v/>
      </c>
    </row>
    <row r="393" spans="2:7" x14ac:dyDescent="0.2">
      <c r="C393" s="25"/>
      <c r="D393" s="2"/>
      <c r="E393" s="5"/>
      <c r="F393" s="5"/>
      <c r="G393" s="6" t="str">
        <f t="shared" si="26"/>
        <v/>
      </c>
    </row>
    <row r="394" spans="2:7" x14ac:dyDescent="0.2">
      <c r="B394" s="13">
        <f>G394</f>
        <v>0</v>
      </c>
      <c r="C394" s="29"/>
      <c r="D394" s="7"/>
      <c r="E394" s="7"/>
      <c r="F394" s="8" t="s">
        <v>5</v>
      </c>
      <c r="G394" s="9">
        <f>SUM(G382:G393)</f>
        <v>0</v>
      </c>
    </row>
    <row r="395" spans="2:7" x14ac:dyDescent="0.2">
      <c r="C395" s="36">
        <f>C380+1</f>
        <v>44039</v>
      </c>
      <c r="D395" s="37"/>
      <c r="E395" s="37"/>
      <c r="F395" s="37"/>
      <c r="G395" s="38"/>
    </row>
    <row r="396" spans="2:7" x14ac:dyDescent="0.2">
      <c r="C396" s="25" t="s">
        <v>0</v>
      </c>
      <c r="D396" s="2" t="s">
        <v>1</v>
      </c>
      <c r="E396" s="3" t="s">
        <v>2</v>
      </c>
      <c r="F396" s="3" t="s">
        <v>3</v>
      </c>
      <c r="G396" s="4" t="s">
        <v>4</v>
      </c>
    </row>
    <row r="397" spans="2:7" x14ac:dyDescent="0.2">
      <c r="C397" s="25"/>
      <c r="D397" s="2"/>
      <c r="E397" s="5"/>
      <c r="F397" s="5"/>
      <c r="G397" s="6" t="str">
        <f t="shared" ref="G397:G399" si="27">IF(ISBLANK(E397),"",(E397-F397-(E397*0.014+0.25)))</f>
        <v/>
      </c>
    </row>
    <row r="398" spans="2:7" x14ac:dyDescent="0.2">
      <c r="C398" s="25"/>
      <c r="D398" s="2"/>
      <c r="E398" s="5"/>
      <c r="F398" s="5"/>
      <c r="G398" s="6" t="str">
        <f t="shared" si="27"/>
        <v/>
      </c>
    </row>
    <row r="399" spans="2:7" x14ac:dyDescent="0.2">
      <c r="C399" s="25"/>
      <c r="D399" s="2"/>
      <c r="E399" s="5"/>
      <c r="F399" s="5"/>
      <c r="G399" s="6" t="str">
        <f t="shared" si="27"/>
        <v/>
      </c>
    </row>
    <row r="400" spans="2:7" x14ac:dyDescent="0.2">
      <c r="C400" s="25"/>
      <c r="D400" s="2"/>
      <c r="E400" s="5"/>
      <c r="F400" s="5"/>
      <c r="G400" s="6" t="str">
        <f t="shared" ref="G400:G410" si="28">IF(ISBLANK(E400),"",(E400-F400-(E400*0.014+0.25)))</f>
        <v/>
      </c>
    </row>
    <row r="401" spans="2:7" x14ac:dyDescent="0.2">
      <c r="C401" s="25"/>
      <c r="D401" s="2"/>
      <c r="E401" s="5"/>
      <c r="F401" s="5"/>
      <c r="G401" s="6" t="str">
        <f t="shared" si="28"/>
        <v/>
      </c>
    </row>
    <row r="402" spans="2:7" x14ac:dyDescent="0.2">
      <c r="C402" s="25"/>
      <c r="D402" s="2"/>
      <c r="E402" s="5"/>
      <c r="F402" s="5"/>
      <c r="G402" s="6" t="str">
        <f t="shared" si="28"/>
        <v/>
      </c>
    </row>
    <row r="403" spans="2:7" x14ac:dyDescent="0.2">
      <c r="C403" s="25"/>
      <c r="D403" s="2"/>
      <c r="E403" s="5"/>
      <c r="F403" s="5"/>
      <c r="G403" s="6" t="str">
        <f t="shared" si="28"/>
        <v/>
      </c>
    </row>
    <row r="404" spans="2:7" x14ac:dyDescent="0.2">
      <c r="C404" s="25"/>
      <c r="D404" s="2"/>
      <c r="E404" s="5"/>
      <c r="F404" s="5"/>
      <c r="G404" s="6" t="str">
        <f t="shared" si="28"/>
        <v/>
      </c>
    </row>
    <row r="405" spans="2:7" x14ac:dyDescent="0.2">
      <c r="C405" s="25"/>
      <c r="D405" s="2"/>
      <c r="E405" s="5"/>
      <c r="F405" s="5"/>
      <c r="G405" s="6" t="str">
        <f t="shared" si="28"/>
        <v/>
      </c>
    </row>
    <row r="406" spans="2:7" x14ac:dyDescent="0.2">
      <c r="C406" s="25"/>
      <c r="D406" s="2"/>
      <c r="E406" s="5"/>
      <c r="F406" s="5"/>
      <c r="G406" s="6" t="str">
        <f t="shared" si="28"/>
        <v/>
      </c>
    </row>
    <row r="407" spans="2:7" x14ac:dyDescent="0.2">
      <c r="C407" s="25"/>
      <c r="D407" s="2"/>
      <c r="E407" s="5"/>
      <c r="F407" s="5"/>
      <c r="G407" s="6" t="str">
        <f t="shared" si="28"/>
        <v/>
      </c>
    </row>
    <row r="408" spans="2:7" x14ac:dyDescent="0.2">
      <c r="C408" s="25"/>
      <c r="D408" s="2"/>
      <c r="E408" s="5"/>
      <c r="F408" s="5"/>
      <c r="G408" s="6" t="str">
        <f t="shared" si="28"/>
        <v/>
      </c>
    </row>
    <row r="409" spans="2:7" x14ac:dyDescent="0.2">
      <c r="C409" s="25"/>
      <c r="D409" s="2"/>
      <c r="E409" s="5"/>
      <c r="F409" s="5"/>
      <c r="G409" s="6" t="str">
        <f t="shared" si="28"/>
        <v/>
      </c>
    </row>
    <row r="410" spans="2:7" x14ac:dyDescent="0.2">
      <c r="C410" s="25"/>
      <c r="D410" s="2"/>
      <c r="E410" s="5"/>
      <c r="F410" s="5"/>
      <c r="G410" s="6" t="str">
        <f t="shared" si="28"/>
        <v/>
      </c>
    </row>
    <row r="411" spans="2:7" x14ac:dyDescent="0.2">
      <c r="B411" s="13">
        <f>G411</f>
        <v>0</v>
      </c>
      <c r="C411" s="29"/>
      <c r="D411" s="7"/>
      <c r="E411" s="7"/>
      <c r="F411" s="8" t="s">
        <v>5</v>
      </c>
      <c r="G411" s="9">
        <f>SUM(G397:G410)</f>
        <v>0</v>
      </c>
    </row>
    <row r="412" spans="2:7" x14ac:dyDescent="0.2">
      <c r="C412" s="36">
        <f>C395+1</f>
        <v>44040</v>
      </c>
      <c r="D412" s="37"/>
      <c r="E412" s="37"/>
      <c r="F412" s="37"/>
      <c r="G412" s="38"/>
    </row>
    <row r="413" spans="2:7" x14ac:dyDescent="0.2">
      <c r="C413" s="25" t="s">
        <v>0</v>
      </c>
      <c r="D413" s="2" t="s">
        <v>1</v>
      </c>
      <c r="E413" s="3" t="s">
        <v>2</v>
      </c>
      <c r="F413" s="3" t="s">
        <v>3</v>
      </c>
      <c r="G413" s="4" t="s">
        <v>4</v>
      </c>
    </row>
    <row r="414" spans="2:7" x14ac:dyDescent="0.2">
      <c r="C414" s="25"/>
      <c r="D414" s="2"/>
      <c r="E414" s="5"/>
      <c r="F414" s="5"/>
      <c r="G414" s="6" t="str">
        <f t="shared" ref="G414:G424" si="29">IF(ISBLANK(E414),"",(E414-F414-(E414*0.014+0.25)))</f>
        <v/>
      </c>
    </row>
    <row r="415" spans="2:7" x14ac:dyDescent="0.2">
      <c r="C415" s="25"/>
      <c r="D415" s="2"/>
      <c r="E415" s="5"/>
      <c r="F415" s="5"/>
      <c r="G415" s="6" t="str">
        <f t="shared" si="29"/>
        <v/>
      </c>
    </row>
    <row r="416" spans="2:7" x14ac:dyDescent="0.2">
      <c r="C416" s="25"/>
      <c r="D416" s="2"/>
      <c r="E416" s="5"/>
      <c r="F416" s="5"/>
      <c r="G416" s="6" t="str">
        <f t="shared" si="29"/>
        <v/>
      </c>
    </row>
    <row r="417" spans="2:7" x14ac:dyDescent="0.2">
      <c r="C417" s="25"/>
      <c r="D417" s="2"/>
      <c r="E417" s="5"/>
      <c r="F417" s="5"/>
      <c r="G417" s="6" t="str">
        <f t="shared" si="29"/>
        <v/>
      </c>
    </row>
    <row r="418" spans="2:7" x14ac:dyDescent="0.2">
      <c r="C418" s="25"/>
      <c r="D418" s="2"/>
      <c r="E418" s="5"/>
      <c r="F418" s="5"/>
      <c r="G418" s="6" t="str">
        <f t="shared" si="29"/>
        <v/>
      </c>
    </row>
    <row r="419" spans="2:7" x14ac:dyDescent="0.2">
      <c r="C419" s="25"/>
      <c r="D419" s="2"/>
      <c r="E419" s="5"/>
      <c r="F419" s="5"/>
      <c r="G419" s="6" t="str">
        <f t="shared" si="29"/>
        <v/>
      </c>
    </row>
    <row r="420" spans="2:7" x14ac:dyDescent="0.2">
      <c r="C420" s="25"/>
      <c r="D420" s="2"/>
      <c r="E420" s="5"/>
      <c r="F420" s="5"/>
      <c r="G420" s="6" t="str">
        <f t="shared" si="29"/>
        <v/>
      </c>
    </row>
    <row r="421" spans="2:7" x14ac:dyDescent="0.2">
      <c r="C421" s="25"/>
      <c r="D421" s="2"/>
      <c r="E421" s="5"/>
      <c r="F421" s="5"/>
      <c r="G421" s="6" t="str">
        <f t="shared" si="29"/>
        <v/>
      </c>
    </row>
    <row r="422" spans="2:7" x14ac:dyDescent="0.2">
      <c r="C422" s="25"/>
      <c r="D422" s="2"/>
      <c r="E422" s="5"/>
      <c r="F422" s="5"/>
      <c r="G422" s="6" t="str">
        <f t="shared" si="29"/>
        <v/>
      </c>
    </row>
    <row r="423" spans="2:7" x14ac:dyDescent="0.2">
      <c r="C423" s="25"/>
      <c r="D423" s="2"/>
      <c r="E423" s="5"/>
      <c r="F423" s="5"/>
      <c r="G423" s="6" t="str">
        <f t="shared" si="29"/>
        <v/>
      </c>
    </row>
    <row r="424" spans="2:7" x14ac:dyDescent="0.2">
      <c r="C424" s="25"/>
      <c r="D424" s="2"/>
      <c r="E424" s="5"/>
      <c r="F424" s="5"/>
      <c r="G424" s="6" t="str">
        <f t="shared" si="29"/>
        <v/>
      </c>
    </row>
    <row r="425" spans="2:7" x14ac:dyDescent="0.2">
      <c r="B425" s="13">
        <f>G425</f>
        <v>0</v>
      </c>
      <c r="C425" s="29"/>
      <c r="D425" s="7"/>
      <c r="E425" s="7"/>
      <c r="F425" s="8" t="s">
        <v>5</v>
      </c>
      <c r="G425" s="9">
        <f>SUM(G414:G424)</f>
        <v>0</v>
      </c>
    </row>
    <row r="426" spans="2:7" x14ac:dyDescent="0.2">
      <c r="C426" s="36">
        <f>C412+1</f>
        <v>44041</v>
      </c>
      <c r="D426" s="37"/>
      <c r="E426" s="37"/>
      <c r="F426" s="37"/>
      <c r="G426" s="38"/>
    </row>
    <row r="427" spans="2:7" x14ac:dyDescent="0.2">
      <c r="C427" s="25" t="s">
        <v>0</v>
      </c>
      <c r="D427" s="2" t="s">
        <v>1</v>
      </c>
      <c r="E427" s="3" t="s">
        <v>2</v>
      </c>
      <c r="F427" s="3" t="s">
        <v>3</v>
      </c>
      <c r="G427" s="4" t="s">
        <v>4</v>
      </c>
    </row>
    <row r="428" spans="2:7" x14ac:dyDescent="0.2">
      <c r="C428" s="25"/>
      <c r="D428" s="2"/>
      <c r="E428" s="5"/>
      <c r="F428" s="5"/>
      <c r="G428" s="6" t="str">
        <f t="shared" ref="G428:G437" si="30">IF(ISBLANK(E428),"",(E428-F428-(E428*0.014+0.25)))</f>
        <v/>
      </c>
    </row>
    <row r="429" spans="2:7" x14ac:dyDescent="0.2">
      <c r="C429" s="25"/>
      <c r="D429" s="2"/>
      <c r="E429" s="5"/>
      <c r="F429" s="5"/>
      <c r="G429" s="6" t="str">
        <f t="shared" si="30"/>
        <v/>
      </c>
    </row>
    <row r="430" spans="2:7" x14ac:dyDescent="0.2">
      <c r="C430" s="25"/>
      <c r="D430" s="2"/>
      <c r="E430" s="5"/>
      <c r="F430" s="5"/>
      <c r="G430" s="6" t="str">
        <f t="shared" si="30"/>
        <v/>
      </c>
    </row>
    <row r="431" spans="2:7" x14ac:dyDescent="0.2">
      <c r="C431" s="25"/>
      <c r="D431" s="2"/>
      <c r="E431" s="5"/>
      <c r="F431" s="5"/>
      <c r="G431" s="6" t="str">
        <f t="shared" si="30"/>
        <v/>
      </c>
    </row>
    <row r="432" spans="2:7" x14ac:dyDescent="0.2">
      <c r="C432" s="25"/>
      <c r="D432" s="2"/>
      <c r="E432" s="5"/>
      <c r="F432" s="5"/>
      <c r="G432" s="6" t="str">
        <f t="shared" si="30"/>
        <v/>
      </c>
    </row>
    <row r="433" spans="2:7" x14ac:dyDescent="0.2">
      <c r="C433" s="25"/>
      <c r="D433" s="2"/>
      <c r="E433" s="5"/>
      <c r="F433" s="5"/>
      <c r="G433" s="6" t="str">
        <f t="shared" si="30"/>
        <v/>
      </c>
    </row>
    <row r="434" spans="2:7" x14ac:dyDescent="0.2">
      <c r="C434" s="25"/>
      <c r="D434" s="2"/>
      <c r="E434" s="5"/>
      <c r="F434" s="5"/>
      <c r="G434" s="6" t="str">
        <f t="shared" si="30"/>
        <v/>
      </c>
    </row>
    <row r="435" spans="2:7" x14ac:dyDescent="0.2">
      <c r="C435" s="25"/>
      <c r="D435" s="2"/>
      <c r="E435" s="5"/>
      <c r="F435" s="5"/>
      <c r="G435" s="6" t="str">
        <f t="shared" si="30"/>
        <v/>
      </c>
    </row>
    <row r="436" spans="2:7" x14ac:dyDescent="0.2">
      <c r="C436" s="25"/>
      <c r="D436" s="2"/>
      <c r="E436" s="5"/>
      <c r="F436" s="5"/>
      <c r="G436" s="6" t="str">
        <f t="shared" si="30"/>
        <v/>
      </c>
    </row>
    <row r="437" spans="2:7" x14ac:dyDescent="0.2">
      <c r="C437" s="25"/>
      <c r="D437" s="2"/>
      <c r="E437" s="5"/>
      <c r="F437" s="5"/>
      <c r="G437" s="6" t="str">
        <f t="shared" si="30"/>
        <v/>
      </c>
    </row>
    <row r="438" spans="2:7" x14ac:dyDescent="0.2">
      <c r="C438" s="25"/>
      <c r="D438" s="2"/>
      <c r="E438" s="5"/>
      <c r="F438" s="5"/>
      <c r="G438" s="6"/>
    </row>
    <row r="439" spans="2:7" x14ac:dyDescent="0.2">
      <c r="B439" s="13">
        <f>G439</f>
        <v>0</v>
      </c>
      <c r="C439" s="29"/>
      <c r="D439" s="7"/>
      <c r="E439" s="7"/>
      <c r="F439" s="8" t="s">
        <v>5</v>
      </c>
      <c r="G439" s="9">
        <f>SUM(G428:G437)</f>
        <v>0</v>
      </c>
    </row>
    <row r="440" spans="2:7" x14ac:dyDescent="0.2">
      <c r="C440" s="36">
        <f>C426+1</f>
        <v>44042</v>
      </c>
      <c r="D440" s="37"/>
      <c r="E440" s="37"/>
      <c r="F440" s="37"/>
      <c r="G440" s="38"/>
    </row>
    <row r="441" spans="2:7" x14ac:dyDescent="0.2">
      <c r="C441" s="25" t="s">
        <v>0</v>
      </c>
      <c r="D441" s="2" t="s">
        <v>1</v>
      </c>
      <c r="E441" s="3" t="s">
        <v>2</v>
      </c>
      <c r="F441" s="3" t="s">
        <v>3</v>
      </c>
      <c r="G441" s="4" t="s">
        <v>4</v>
      </c>
    </row>
    <row r="442" spans="2:7" x14ac:dyDescent="0.2">
      <c r="C442" s="25"/>
      <c r="D442" s="2"/>
      <c r="E442" s="5"/>
      <c r="F442" s="5"/>
      <c r="G442" s="6" t="str">
        <f t="shared" ref="G442:G449" si="31">IF(ISBLANK(E442),"",(E442-F442-(E442*0.014+0.25)))</f>
        <v/>
      </c>
    </row>
    <row r="443" spans="2:7" x14ac:dyDescent="0.2">
      <c r="C443" s="25"/>
      <c r="D443" s="2"/>
      <c r="E443" s="5"/>
      <c r="F443" s="5"/>
      <c r="G443" s="6" t="str">
        <f t="shared" si="31"/>
        <v/>
      </c>
    </row>
    <row r="444" spans="2:7" x14ac:dyDescent="0.2">
      <c r="C444" s="25"/>
      <c r="D444" s="2"/>
      <c r="E444" s="5"/>
      <c r="F444" s="5"/>
      <c r="G444" s="6" t="str">
        <f t="shared" si="31"/>
        <v/>
      </c>
    </row>
    <row r="445" spans="2:7" x14ac:dyDescent="0.2">
      <c r="C445" s="25"/>
      <c r="D445" s="2"/>
      <c r="E445" s="5"/>
      <c r="F445" s="5"/>
      <c r="G445" s="6" t="str">
        <f t="shared" si="31"/>
        <v/>
      </c>
    </row>
    <row r="446" spans="2:7" x14ac:dyDescent="0.2">
      <c r="C446" s="25"/>
      <c r="D446" s="2"/>
      <c r="E446" s="5"/>
      <c r="F446" s="5"/>
      <c r="G446" s="6" t="str">
        <f t="shared" si="31"/>
        <v/>
      </c>
    </row>
    <row r="447" spans="2:7" x14ac:dyDescent="0.2">
      <c r="C447" s="25"/>
      <c r="D447" s="2"/>
      <c r="E447" s="5"/>
      <c r="F447" s="5"/>
      <c r="G447" s="6" t="str">
        <f t="shared" si="31"/>
        <v/>
      </c>
    </row>
    <row r="448" spans="2:7" x14ac:dyDescent="0.2">
      <c r="C448" s="25"/>
      <c r="D448" s="2"/>
      <c r="E448" s="5"/>
      <c r="F448" s="5"/>
      <c r="G448" s="6" t="str">
        <f t="shared" si="31"/>
        <v/>
      </c>
    </row>
    <row r="449" spans="2:7" x14ac:dyDescent="0.2">
      <c r="C449" s="25"/>
      <c r="D449" s="2"/>
      <c r="E449" s="5"/>
      <c r="F449" s="5"/>
      <c r="G449" s="6" t="str">
        <f t="shared" si="31"/>
        <v/>
      </c>
    </row>
    <row r="450" spans="2:7" x14ac:dyDescent="0.2">
      <c r="B450" s="13">
        <f>G450</f>
        <v>0</v>
      </c>
      <c r="C450" s="29"/>
      <c r="D450" s="7"/>
      <c r="E450" s="7"/>
      <c r="F450" s="8" t="s">
        <v>5</v>
      </c>
      <c r="G450" s="9">
        <f>SUM(G442:G449)</f>
        <v>0</v>
      </c>
    </row>
    <row r="451" spans="2:7" x14ac:dyDescent="0.2">
      <c r="C451" s="36">
        <f>C440+1</f>
        <v>44043</v>
      </c>
      <c r="D451" s="37"/>
      <c r="E451" s="37"/>
      <c r="F451" s="37"/>
      <c r="G451" s="38"/>
    </row>
    <row r="452" spans="2:7" x14ac:dyDescent="0.2">
      <c r="C452" s="25" t="s">
        <v>0</v>
      </c>
      <c r="D452" s="2" t="s">
        <v>1</v>
      </c>
      <c r="E452" s="3" t="s">
        <v>2</v>
      </c>
      <c r="F452" s="3" t="s">
        <v>3</v>
      </c>
      <c r="G452" s="4" t="s">
        <v>4</v>
      </c>
    </row>
    <row r="453" spans="2:7" x14ac:dyDescent="0.2">
      <c r="C453" s="34"/>
      <c r="D453" s="5"/>
      <c r="E453" s="5"/>
      <c r="F453" s="5"/>
      <c r="G453" s="6"/>
    </row>
    <row r="454" spans="2:7" x14ac:dyDescent="0.2">
      <c r="C454" s="34"/>
      <c r="D454" s="2"/>
      <c r="E454" s="5"/>
      <c r="F454" s="5"/>
      <c r="G454" s="6" t="str">
        <f>IF(ISBLANK(E454),"",(E454-F454-(E454*0.014+0.25)))</f>
        <v/>
      </c>
    </row>
    <row r="455" spans="2:7" x14ac:dyDescent="0.2">
      <c r="C455" s="34"/>
      <c r="D455" s="2"/>
      <c r="E455" s="5"/>
      <c r="F455" s="5"/>
      <c r="G455" s="6" t="str">
        <f>IF(ISBLANK(E455),"",(E455-F455-(E455*0.014+0.25)))</f>
        <v/>
      </c>
    </row>
    <row r="456" spans="2:7" x14ac:dyDescent="0.2">
      <c r="C456" s="34"/>
      <c r="D456" s="2"/>
      <c r="E456" s="5"/>
      <c r="F456" s="5"/>
      <c r="G456" s="6" t="str">
        <f>IF(ISBLANK(E456),"",(E456-F456-(E456*0.014+0.25)))</f>
        <v/>
      </c>
    </row>
    <row r="457" spans="2:7" x14ac:dyDescent="0.2">
      <c r="C457" s="34"/>
      <c r="D457" s="2"/>
      <c r="E457" s="5"/>
      <c r="F457" s="5"/>
      <c r="G457" s="6" t="str">
        <f>IF(ISBLANK(E457),"",(E457-F457-(E457*0.014+0.25)))</f>
        <v/>
      </c>
    </row>
    <row r="458" spans="2:7" x14ac:dyDescent="0.2">
      <c r="B458" s="13">
        <f>G458</f>
        <v>0</v>
      </c>
      <c r="C458" s="30"/>
      <c r="D458" s="22"/>
      <c r="E458" s="21"/>
      <c r="F458" s="23" t="s">
        <v>5</v>
      </c>
      <c r="G458" s="24">
        <f>SUM(G454:G457)</f>
        <v>0</v>
      </c>
    </row>
  </sheetData>
  <mergeCells count="32">
    <mergeCell ref="C440:G440"/>
    <mergeCell ref="C451:G451"/>
    <mergeCell ref="C346:G346"/>
    <mergeCell ref="C363:G363"/>
    <mergeCell ref="C380:G380"/>
    <mergeCell ref="C395:G395"/>
    <mergeCell ref="C412:G412"/>
    <mergeCell ref="C426:G426"/>
    <mergeCell ref="C332:G332"/>
    <mergeCell ref="C174:G174"/>
    <mergeCell ref="C187:G187"/>
    <mergeCell ref="C200:G200"/>
    <mergeCell ref="C217:G217"/>
    <mergeCell ref="C231:G231"/>
    <mergeCell ref="C245:G245"/>
    <mergeCell ref="C258:G258"/>
    <mergeCell ref="C271:G271"/>
    <mergeCell ref="C288:G288"/>
    <mergeCell ref="C305:G305"/>
    <mergeCell ref="C318:G318"/>
    <mergeCell ref="C158:G158"/>
    <mergeCell ref="K1:K2"/>
    <mergeCell ref="C5:G5"/>
    <mergeCell ref="C20:G20"/>
    <mergeCell ref="C36:G36"/>
    <mergeCell ref="C50:G50"/>
    <mergeCell ref="C65:G65"/>
    <mergeCell ref="C82:G82"/>
    <mergeCell ref="C98:G98"/>
    <mergeCell ref="C114:G114"/>
    <mergeCell ref="C130:G130"/>
    <mergeCell ref="C144:G144"/>
  </mergeCells>
  <conditionalFormatting sqref="K1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AF68F-48AE-BE47-9B0C-31EF6D50773B}">
  <sheetPr codeName="Feuil3"/>
  <dimension ref="A1:AD448"/>
  <sheetViews>
    <sheetView zoomScale="132" workbookViewId="0">
      <pane ySplit="4" topLeftCell="A5" activePane="bottomLeft" state="frozen"/>
      <selection activeCell="G2" sqref="G2"/>
      <selection pane="bottomLeft" activeCell="I3" sqref="I3"/>
    </sheetView>
  </sheetViews>
  <sheetFormatPr baseColWidth="10" defaultColWidth="11.5" defaultRowHeight="15" x14ac:dyDescent="0.2"/>
  <cols>
    <col min="1" max="1" width="11.5" style="12" customWidth="1"/>
    <col min="2" max="2" width="11.5" style="13" customWidth="1"/>
    <col min="3" max="3" width="18.33203125" style="31" customWidth="1"/>
    <col min="4" max="4" width="20.83203125" style="1" customWidth="1"/>
    <col min="5" max="6" width="11.5" style="1" customWidth="1"/>
    <col min="7" max="7" width="18.33203125" style="1" bestFit="1" customWidth="1"/>
    <col min="8" max="8" width="11.5" style="12" customWidth="1"/>
    <col min="9" max="9" width="11.33203125" style="12" customWidth="1"/>
    <col min="10" max="10" width="11" style="12" bestFit="1" customWidth="1"/>
    <col min="11" max="11" width="8.6640625" style="12" bestFit="1" customWidth="1"/>
    <col min="12" max="12" width="7.6640625" style="12" bestFit="1" customWidth="1"/>
    <col min="13" max="13" width="4.5" style="12" customWidth="1"/>
    <col min="14" max="30" width="11.5" style="12" customWidth="1"/>
    <col min="31" max="31" width="11.5" style="1" customWidth="1"/>
    <col min="32" max="16384" width="11.5" style="1"/>
  </cols>
  <sheetData>
    <row r="1" spans="3:12" x14ac:dyDescent="0.2">
      <c r="C1" s="26" t="s">
        <v>6</v>
      </c>
      <c r="D1" s="11">
        <f>SUM(B:B)</f>
        <v>0</v>
      </c>
      <c r="E1" s="12"/>
      <c r="F1" s="10" t="s">
        <v>8</v>
      </c>
      <c r="G1" s="15">
        <f>IFERROR(SUM(B:B)/COUNTIF(B:B,"&gt;0"),0)</f>
        <v>0</v>
      </c>
      <c r="H1" s="10" t="s">
        <v>16</v>
      </c>
      <c r="I1" s="19">
        <v>0</v>
      </c>
      <c r="J1" s="10"/>
      <c r="K1" s="35">
        <f>D1-D2-I2-I1</f>
        <v>0</v>
      </c>
    </row>
    <row r="2" spans="3:12" x14ac:dyDescent="0.2">
      <c r="C2" s="26" t="s">
        <v>10</v>
      </c>
      <c r="D2" s="18"/>
      <c r="E2" s="12"/>
      <c r="F2" s="10" t="s">
        <v>9</v>
      </c>
      <c r="G2" s="15"/>
      <c r="H2" s="10" t="s">
        <v>11</v>
      </c>
      <c r="I2" s="19">
        <f>2/100*G2</f>
        <v>0</v>
      </c>
      <c r="J2" s="10" t="s">
        <v>12</v>
      </c>
      <c r="K2" s="35"/>
      <c r="L2" s="20"/>
    </row>
    <row r="3" spans="3:12" ht="16" thickBot="1" x14ac:dyDescent="0.25">
      <c r="C3" s="27" t="s">
        <v>7</v>
      </c>
      <c r="D3" s="14"/>
      <c r="E3" s="14"/>
      <c r="F3" s="14"/>
      <c r="G3" s="14"/>
    </row>
    <row r="4" spans="3:12" ht="3" customHeight="1" x14ac:dyDescent="0.2">
      <c r="C4" s="28"/>
      <c r="D4" s="12"/>
      <c r="E4" s="12"/>
      <c r="F4" s="12"/>
      <c r="G4" s="12"/>
    </row>
    <row r="5" spans="3:12" x14ac:dyDescent="0.2">
      <c r="C5" s="36">
        <v>44044</v>
      </c>
      <c r="D5" s="37"/>
      <c r="E5" s="37"/>
      <c r="F5" s="37"/>
      <c r="G5" s="38"/>
    </row>
    <row r="6" spans="3:12" x14ac:dyDescent="0.2">
      <c r="C6" s="25" t="s">
        <v>0</v>
      </c>
      <c r="D6" s="2" t="s">
        <v>1</v>
      </c>
      <c r="E6" s="3" t="s">
        <v>2</v>
      </c>
      <c r="F6" s="3" t="s">
        <v>3</v>
      </c>
      <c r="G6" s="4" t="s">
        <v>4</v>
      </c>
    </row>
    <row r="7" spans="3:12" x14ac:dyDescent="0.2">
      <c r="C7" s="25"/>
      <c r="D7" s="2"/>
      <c r="E7" s="5"/>
      <c r="F7" s="5"/>
      <c r="G7" s="6" t="str">
        <f t="shared" ref="G7:G18" si="0">IF(ISBLANK(E7),"",(E7-F7-(E7*0.014+0.25)))</f>
        <v/>
      </c>
    </row>
    <row r="8" spans="3:12" x14ac:dyDescent="0.2">
      <c r="C8" s="25"/>
      <c r="D8" s="2"/>
      <c r="E8" s="5"/>
      <c r="F8" s="5"/>
      <c r="G8" s="6" t="str">
        <f t="shared" si="0"/>
        <v/>
      </c>
    </row>
    <row r="9" spans="3:12" x14ac:dyDescent="0.2">
      <c r="C9" s="25"/>
      <c r="D9" s="2"/>
      <c r="E9" s="5"/>
      <c r="F9" s="5"/>
      <c r="G9" s="6" t="str">
        <f t="shared" si="0"/>
        <v/>
      </c>
    </row>
    <row r="10" spans="3:12" x14ac:dyDescent="0.2">
      <c r="C10" s="25"/>
      <c r="D10" s="2"/>
      <c r="E10" s="5"/>
      <c r="F10" s="5"/>
      <c r="G10" s="6" t="str">
        <f t="shared" si="0"/>
        <v/>
      </c>
    </row>
    <row r="11" spans="3:12" x14ac:dyDescent="0.2">
      <c r="C11" s="25"/>
      <c r="D11" s="2"/>
      <c r="E11" s="5"/>
      <c r="F11" s="5"/>
      <c r="G11" s="6" t="str">
        <f t="shared" si="0"/>
        <v/>
      </c>
    </row>
    <row r="12" spans="3:12" x14ac:dyDescent="0.2">
      <c r="C12" s="25"/>
      <c r="D12" s="2"/>
      <c r="E12" s="5"/>
      <c r="F12" s="5"/>
      <c r="G12" s="6" t="str">
        <f t="shared" si="0"/>
        <v/>
      </c>
    </row>
    <row r="13" spans="3:12" x14ac:dyDescent="0.2">
      <c r="C13" s="25"/>
      <c r="D13" s="2"/>
      <c r="E13" s="5"/>
      <c r="F13" s="5"/>
      <c r="G13" s="6" t="str">
        <f t="shared" si="0"/>
        <v/>
      </c>
    </row>
    <row r="14" spans="3:12" x14ac:dyDescent="0.2">
      <c r="C14" s="25"/>
      <c r="D14" s="2"/>
      <c r="E14" s="5"/>
      <c r="F14" s="5"/>
      <c r="G14" s="6" t="str">
        <f t="shared" si="0"/>
        <v/>
      </c>
    </row>
    <row r="15" spans="3:12" x14ac:dyDescent="0.2">
      <c r="C15" s="25"/>
      <c r="D15" s="2"/>
      <c r="E15" s="5"/>
      <c r="F15" s="5"/>
      <c r="G15" s="6" t="str">
        <f t="shared" si="0"/>
        <v/>
      </c>
    </row>
    <row r="16" spans="3:12" x14ac:dyDescent="0.2">
      <c r="C16" s="25"/>
      <c r="D16" s="2"/>
      <c r="E16" s="5"/>
      <c r="F16" s="5"/>
      <c r="G16" s="6" t="str">
        <f t="shared" si="0"/>
        <v/>
      </c>
    </row>
    <row r="17" spans="2:7" x14ac:dyDescent="0.2">
      <c r="C17" s="25"/>
      <c r="D17" s="2"/>
      <c r="E17" s="5"/>
      <c r="F17" s="5"/>
      <c r="G17" s="6" t="str">
        <f t="shared" si="0"/>
        <v/>
      </c>
    </row>
    <row r="18" spans="2:7" x14ac:dyDescent="0.2">
      <c r="C18" s="25"/>
      <c r="D18" s="2"/>
      <c r="E18" s="5"/>
      <c r="F18" s="5"/>
      <c r="G18" s="6" t="str">
        <f t="shared" si="0"/>
        <v/>
      </c>
    </row>
    <row r="19" spans="2:7" x14ac:dyDescent="0.2">
      <c r="B19" s="13">
        <f>G19</f>
        <v>0</v>
      </c>
      <c r="C19" s="29"/>
      <c r="D19" s="7"/>
      <c r="E19" s="7"/>
      <c r="F19" s="8" t="s">
        <v>5</v>
      </c>
      <c r="G19" s="9">
        <f>SUM(G7:G18)</f>
        <v>0</v>
      </c>
    </row>
    <row r="20" spans="2:7" x14ac:dyDescent="0.2">
      <c r="C20" s="36">
        <f>C5+1</f>
        <v>44045</v>
      </c>
      <c r="D20" s="37"/>
      <c r="E20" s="37"/>
      <c r="F20" s="37"/>
      <c r="G20" s="38"/>
    </row>
    <row r="21" spans="2:7" x14ac:dyDescent="0.2">
      <c r="C21" s="25" t="s">
        <v>0</v>
      </c>
      <c r="D21" s="2" t="s">
        <v>1</v>
      </c>
      <c r="E21" s="3" t="s">
        <v>2</v>
      </c>
      <c r="F21" s="3" t="s">
        <v>3</v>
      </c>
      <c r="G21" s="4" t="s">
        <v>4</v>
      </c>
    </row>
    <row r="22" spans="2:7" x14ac:dyDescent="0.2">
      <c r="C22" s="25"/>
      <c r="D22" s="2"/>
      <c r="E22" s="5"/>
      <c r="F22" s="5"/>
      <c r="G22" s="6" t="str">
        <f t="shared" ref="G22:G37" si="1">IF(ISBLANK(E22),"",(E22-F22-(E22*0.014+0.25)))</f>
        <v/>
      </c>
    </row>
    <row r="23" spans="2:7" x14ac:dyDescent="0.2">
      <c r="C23" s="25"/>
      <c r="D23" s="2"/>
      <c r="E23" s="5"/>
      <c r="F23" s="5"/>
      <c r="G23" s="6" t="str">
        <f t="shared" si="1"/>
        <v/>
      </c>
    </row>
    <row r="24" spans="2:7" x14ac:dyDescent="0.2">
      <c r="C24" s="25"/>
      <c r="D24" s="2"/>
      <c r="E24" s="5"/>
      <c r="F24" s="5"/>
      <c r="G24" s="6" t="str">
        <f t="shared" si="1"/>
        <v/>
      </c>
    </row>
    <row r="25" spans="2:7" x14ac:dyDescent="0.2">
      <c r="C25" s="25"/>
      <c r="D25" s="2"/>
      <c r="E25" s="5"/>
      <c r="F25" s="5"/>
      <c r="G25" s="6" t="str">
        <f t="shared" si="1"/>
        <v/>
      </c>
    </row>
    <row r="26" spans="2:7" x14ac:dyDescent="0.2">
      <c r="C26" s="25"/>
      <c r="D26" s="2"/>
      <c r="E26" s="5"/>
      <c r="F26" s="5"/>
      <c r="G26" s="6" t="str">
        <f t="shared" si="1"/>
        <v/>
      </c>
    </row>
    <row r="27" spans="2:7" x14ac:dyDescent="0.2">
      <c r="C27" s="25"/>
      <c r="D27" s="2"/>
      <c r="E27" s="5"/>
      <c r="F27" s="5"/>
      <c r="G27" s="6" t="str">
        <f t="shared" si="1"/>
        <v/>
      </c>
    </row>
    <row r="28" spans="2:7" x14ac:dyDescent="0.2">
      <c r="C28" s="25"/>
      <c r="D28" s="2"/>
      <c r="E28" s="5"/>
      <c r="F28" s="5"/>
      <c r="G28" s="6" t="str">
        <f t="shared" si="1"/>
        <v/>
      </c>
    </row>
    <row r="29" spans="2:7" x14ac:dyDescent="0.2">
      <c r="C29" s="25"/>
      <c r="D29" s="2"/>
      <c r="E29" s="5"/>
      <c r="F29" s="5"/>
      <c r="G29" s="6" t="str">
        <f t="shared" si="1"/>
        <v/>
      </c>
    </row>
    <row r="30" spans="2:7" x14ac:dyDescent="0.2">
      <c r="C30" s="25"/>
      <c r="D30" s="2"/>
      <c r="E30" s="5"/>
      <c r="F30" s="5"/>
      <c r="G30" s="6" t="str">
        <f t="shared" si="1"/>
        <v/>
      </c>
    </row>
    <row r="31" spans="2:7" x14ac:dyDescent="0.2">
      <c r="C31" s="25"/>
      <c r="D31" s="2"/>
      <c r="E31" s="5"/>
      <c r="F31" s="5"/>
      <c r="G31" s="6" t="str">
        <f t="shared" si="1"/>
        <v/>
      </c>
    </row>
    <row r="32" spans="2:7" x14ac:dyDescent="0.2">
      <c r="C32" s="25"/>
      <c r="D32" s="2"/>
      <c r="E32" s="5"/>
      <c r="F32" s="5"/>
      <c r="G32" s="6" t="str">
        <f t="shared" si="1"/>
        <v/>
      </c>
    </row>
    <row r="33" spans="2:7" x14ac:dyDescent="0.2">
      <c r="C33" s="25"/>
      <c r="D33" s="2"/>
      <c r="E33" s="5"/>
      <c r="F33" s="5"/>
      <c r="G33" s="6" t="str">
        <f t="shared" si="1"/>
        <v/>
      </c>
    </row>
    <row r="34" spans="2:7" x14ac:dyDescent="0.2">
      <c r="C34" s="25"/>
      <c r="D34" s="2"/>
      <c r="E34" s="5"/>
      <c r="F34" s="5"/>
      <c r="G34" s="6" t="str">
        <f t="shared" si="1"/>
        <v/>
      </c>
    </row>
    <row r="35" spans="2:7" x14ac:dyDescent="0.2">
      <c r="C35" s="25"/>
      <c r="D35" s="2"/>
      <c r="E35" s="5"/>
      <c r="F35" s="5"/>
      <c r="G35" s="6" t="str">
        <f t="shared" si="1"/>
        <v/>
      </c>
    </row>
    <row r="36" spans="2:7" x14ac:dyDescent="0.2">
      <c r="C36" s="25"/>
      <c r="D36" s="2"/>
      <c r="E36" s="5"/>
      <c r="F36" s="5"/>
      <c r="G36" s="6" t="str">
        <f t="shared" si="1"/>
        <v/>
      </c>
    </row>
    <row r="37" spans="2:7" x14ac:dyDescent="0.2">
      <c r="C37" s="25"/>
      <c r="D37" s="2"/>
      <c r="E37" s="5"/>
      <c r="F37" s="5"/>
      <c r="G37" s="6" t="str">
        <f t="shared" si="1"/>
        <v/>
      </c>
    </row>
    <row r="38" spans="2:7" x14ac:dyDescent="0.2">
      <c r="B38" s="13">
        <f>G38</f>
        <v>0</v>
      </c>
      <c r="C38" s="29"/>
      <c r="D38" s="7"/>
      <c r="E38" s="7"/>
      <c r="F38" s="8" t="s">
        <v>5</v>
      </c>
      <c r="G38" s="9">
        <f>SUM(G22:G34)</f>
        <v>0</v>
      </c>
    </row>
    <row r="39" spans="2:7" x14ac:dyDescent="0.2">
      <c r="C39" s="36">
        <f>C20+1</f>
        <v>44046</v>
      </c>
      <c r="D39" s="37"/>
      <c r="E39" s="37"/>
      <c r="F39" s="37"/>
      <c r="G39" s="38"/>
    </row>
    <row r="40" spans="2:7" x14ac:dyDescent="0.2">
      <c r="C40" s="25" t="s">
        <v>0</v>
      </c>
      <c r="D40" s="2" t="s">
        <v>1</v>
      </c>
      <c r="E40" s="3" t="s">
        <v>2</v>
      </c>
      <c r="F40" s="3" t="s">
        <v>3</v>
      </c>
      <c r="G40" s="4" t="s">
        <v>4</v>
      </c>
    </row>
    <row r="41" spans="2:7" x14ac:dyDescent="0.2">
      <c r="C41" s="25"/>
      <c r="D41" s="2"/>
      <c r="E41" s="5"/>
      <c r="F41" s="5"/>
      <c r="G41" s="6" t="str">
        <f t="shared" ref="G41:G51" si="2">IF(ISBLANK(E41),"",(E41-F41-(E41*0.014+0.25)))</f>
        <v/>
      </c>
    </row>
    <row r="42" spans="2:7" x14ac:dyDescent="0.2">
      <c r="C42" s="25"/>
      <c r="D42" s="2"/>
      <c r="E42" s="5"/>
      <c r="F42" s="5"/>
      <c r="G42" s="6" t="str">
        <f t="shared" si="2"/>
        <v/>
      </c>
    </row>
    <row r="43" spans="2:7" x14ac:dyDescent="0.2">
      <c r="C43" s="25"/>
      <c r="D43" s="2"/>
      <c r="E43" s="5"/>
      <c r="F43" s="5"/>
      <c r="G43" s="6" t="str">
        <f t="shared" si="2"/>
        <v/>
      </c>
    </row>
    <row r="44" spans="2:7" x14ac:dyDescent="0.2">
      <c r="C44" s="25"/>
      <c r="D44" s="2"/>
      <c r="E44" s="5"/>
      <c r="F44" s="5"/>
      <c r="G44" s="6" t="str">
        <f t="shared" si="2"/>
        <v/>
      </c>
    </row>
    <row r="45" spans="2:7" x14ac:dyDescent="0.2">
      <c r="C45" s="25"/>
      <c r="D45" s="2"/>
      <c r="E45" s="5"/>
      <c r="F45" s="5"/>
      <c r="G45" s="6" t="str">
        <f t="shared" si="2"/>
        <v/>
      </c>
    </row>
    <row r="46" spans="2:7" x14ac:dyDescent="0.2">
      <c r="C46" s="25"/>
      <c r="D46" s="2"/>
      <c r="E46" s="5"/>
      <c r="F46" s="5"/>
      <c r="G46" s="6" t="str">
        <f t="shared" si="2"/>
        <v/>
      </c>
    </row>
    <row r="47" spans="2:7" x14ac:dyDescent="0.2">
      <c r="C47" s="25"/>
      <c r="D47" s="2"/>
      <c r="E47" s="5"/>
      <c r="F47" s="5"/>
      <c r="G47" s="6" t="str">
        <f t="shared" si="2"/>
        <v/>
      </c>
    </row>
    <row r="48" spans="2:7" x14ac:dyDescent="0.2">
      <c r="C48" s="25"/>
      <c r="D48" s="2"/>
      <c r="E48" s="5"/>
      <c r="F48" s="5"/>
      <c r="G48" s="6" t="str">
        <f t="shared" si="2"/>
        <v/>
      </c>
    </row>
    <row r="49" spans="2:7" x14ac:dyDescent="0.2">
      <c r="C49" s="25"/>
      <c r="D49" s="2"/>
      <c r="E49" s="5"/>
      <c r="F49" s="5"/>
      <c r="G49" s="6" t="str">
        <f t="shared" si="2"/>
        <v/>
      </c>
    </row>
    <row r="50" spans="2:7" x14ac:dyDescent="0.2">
      <c r="C50" s="25"/>
      <c r="D50" s="2"/>
      <c r="E50" s="5"/>
      <c r="F50" s="5"/>
      <c r="G50" s="6" t="str">
        <f t="shared" si="2"/>
        <v/>
      </c>
    </row>
    <row r="51" spans="2:7" x14ac:dyDescent="0.2">
      <c r="C51" s="25"/>
      <c r="D51" s="2"/>
      <c r="E51" s="5"/>
      <c r="F51" s="5"/>
      <c r="G51" s="6" t="str">
        <f t="shared" si="2"/>
        <v/>
      </c>
    </row>
    <row r="52" spans="2:7" x14ac:dyDescent="0.2">
      <c r="B52" s="13">
        <f>G52</f>
        <v>0</v>
      </c>
      <c r="C52" s="29"/>
      <c r="D52" s="7"/>
      <c r="E52" s="7"/>
      <c r="F52" s="8" t="s">
        <v>5</v>
      </c>
      <c r="G52" s="9">
        <f>SUM(G41:G51)</f>
        <v>0</v>
      </c>
    </row>
    <row r="53" spans="2:7" x14ac:dyDescent="0.2">
      <c r="C53" s="36">
        <f>C39+1</f>
        <v>44047</v>
      </c>
      <c r="D53" s="37"/>
      <c r="E53" s="37"/>
      <c r="F53" s="37"/>
      <c r="G53" s="38"/>
    </row>
    <row r="54" spans="2:7" x14ac:dyDescent="0.2">
      <c r="C54" s="25" t="s">
        <v>0</v>
      </c>
      <c r="D54" s="2" t="s">
        <v>1</v>
      </c>
      <c r="E54" s="3" t="s">
        <v>2</v>
      </c>
      <c r="F54" s="3" t="s">
        <v>3</v>
      </c>
      <c r="G54" s="4" t="s">
        <v>4</v>
      </c>
    </row>
    <row r="55" spans="2:7" x14ac:dyDescent="0.2">
      <c r="C55" s="25"/>
      <c r="D55" s="2"/>
      <c r="E55" s="5"/>
      <c r="F55" s="5"/>
      <c r="G55" s="6" t="str">
        <f t="shared" ref="G55:G66" si="3">IF(ISBLANK(E55),"",(E55-F55-(E55*0.014+0.25)))</f>
        <v/>
      </c>
    </row>
    <row r="56" spans="2:7" x14ac:dyDescent="0.2">
      <c r="C56" s="25"/>
      <c r="D56" s="2"/>
      <c r="E56" s="5"/>
      <c r="F56" s="5"/>
      <c r="G56" s="6" t="str">
        <f t="shared" si="3"/>
        <v/>
      </c>
    </row>
    <row r="57" spans="2:7" x14ac:dyDescent="0.2">
      <c r="C57" s="25"/>
      <c r="D57" s="2"/>
      <c r="E57" s="5"/>
      <c r="F57" s="5"/>
      <c r="G57" s="6" t="str">
        <f t="shared" si="3"/>
        <v/>
      </c>
    </row>
    <row r="58" spans="2:7" x14ac:dyDescent="0.2">
      <c r="C58" s="25"/>
      <c r="D58" s="2"/>
      <c r="E58" s="5"/>
      <c r="F58" s="5"/>
      <c r="G58" s="6" t="str">
        <f t="shared" si="3"/>
        <v/>
      </c>
    </row>
    <row r="59" spans="2:7" x14ac:dyDescent="0.2">
      <c r="C59" s="25"/>
      <c r="D59" s="2"/>
      <c r="E59" s="5"/>
      <c r="F59" s="5"/>
      <c r="G59" s="6" t="str">
        <f t="shared" si="3"/>
        <v/>
      </c>
    </row>
    <row r="60" spans="2:7" x14ac:dyDescent="0.2">
      <c r="C60" s="25"/>
      <c r="D60" s="2"/>
      <c r="E60" s="5"/>
      <c r="F60" s="5"/>
      <c r="G60" s="6" t="str">
        <f t="shared" si="3"/>
        <v/>
      </c>
    </row>
    <row r="61" spans="2:7" x14ac:dyDescent="0.2">
      <c r="C61" s="25"/>
      <c r="D61" s="2"/>
      <c r="E61" s="5"/>
      <c r="F61" s="5"/>
      <c r="G61" s="6" t="str">
        <f t="shared" si="3"/>
        <v/>
      </c>
    </row>
    <row r="62" spans="2:7" x14ac:dyDescent="0.2">
      <c r="C62" s="25"/>
      <c r="D62" s="2"/>
      <c r="E62" s="5"/>
      <c r="F62" s="5"/>
      <c r="G62" s="6" t="str">
        <f t="shared" si="3"/>
        <v/>
      </c>
    </row>
    <row r="63" spans="2:7" x14ac:dyDescent="0.2">
      <c r="C63" s="25"/>
      <c r="D63" s="2"/>
      <c r="E63" s="5"/>
      <c r="F63" s="5"/>
      <c r="G63" s="6" t="str">
        <f t="shared" si="3"/>
        <v/>
      </c>
    </row>
    <row r="64" spans="2:7" x14ac:dyDescent="0.2">
      <c r="C64" s="25"/>
      <c r="D64" s="2"/>
      <c r="E64" s="5"/>
      <c r="F64" s="5"/>
      <c r="G64" s="6" t="str">
        <f t="shared" si="3"/>
        <v/>
      </c>
    </row>
    <row r="65" spans="2:7" x14ac:dyDescent="0.2">
      <c r="C65" s="25"/>
      <c r="D65" s="2"/>
      <c r="E65" s="5"/>
      <c r="F65" s="5"/>
      <c r="G65" s="6" t="str">
        <f t="shared" si="3"/>
        <v/>
      </c>
    </row>
    <row r="66" spans="2:7" x14ac:dyDescent="0.2">
      <c r="C66" s="25"/>
      <c r="D66" s="2"/>
      <c r="E66" s="5"/>
      <c r="F66" s="5"/>
      <c r="G66" s="6" t="str">
        <f t="shared" si="3"/>
        <v/>
      </c>
    </row>
    <row r="67" spans="2:7" x14ac:dyDescent="0.2">
      <c r="B67" s="13">
        <f>G67</f>
        <v>0</v>
      </c>
      <c r="C67" s="29"/>
      <c r="D67" s="7"/>
      <c r="E67" s="7"/>
      <c r="F67" s="8" t="s">
        <v>5</v>
      </c>
      <c r="G67" s="9">
        <f>SUM(G55:G66)</f>
        <v>0</v>
      </c>
    </row>
    <row r="68" spans="2:7" x14ac:dyDescent="0.2">
      <c r="C68" s="36">
        <f>C53+1</f>
        <v>44048</v>
      </c>
      <c r="D68" s="37"/>
      <c r="E68" s="37"/>
      <c r="F68" s="37"/>
      <c r="G68" s="38"/>
    </row>
    <row r="69" spans="2:7" x14ac:dyDescent="0.2">
      <c r="C69" s="25" t="s">
        <v>0</v>
      </c>
      <c r="D69" s="2" t="s">
        <v>1</v>
      </c>
      <c r="E69" s="3" t="s">
        <v>2</v>
      </c>
      <c r="F69" s="3" t="s">
        <v>3</v>
      </c>
      <c r="G69" s="4" t="s">
        <v>4</v>
      </c>
    </row>
    <row r="70" spans="2:7" x14ac:dyDescent="0.2">
      <c r="C70" s="25"/>
      <c r="D70" s="2"/>
      <c r="E70" s="5"/>
      <c r="F70" s="5"/>
      <c r="G70" s="6" t="str">
        <f t="shared" ref="G70:G83" si="4">IF(ISBLANK(E70),"",(E70-F70-(E70*0.014+0.25)))</f>
        <v/>
      </c>
    </row>
    <row r="71" spans="2:7" x14ac:dyDescent="0.2">
      <c r="C71" s="25"/>
      <c r="D71" s="2"/>
      <c r="E71" s="5"/>
      <c r="F71" s="5"/>
      <c r="G71" s="6" t="str">
        <f t="shared" si="4"/>
        <v/>
      </c>
    </row>
    <row r="72" spans="2:7" x14ac:dyDescent="0.2">
      <c r="C72" s="25"/>
      <c r="D72" s="2"/>
      <c r="E72" s="5"/>
      <c r="F72" s="5"/>
      <c r="G72" s="6" t="str">
        <f t="shared" si="4"/>
        <v/>
      </c>
    </row>
    <row r="73" spans="2:7" x14ac:dyDescent="0.2">
      <c r="C73" s="25"/>
      <c r="D73" s="2"/>
      <c r="E73" s="5"/>
      <c r="F73" s="5"/>
      <c r="G73" s="6" t="str">
        <f t="shared" si="4"/>
        <v/>
      </c>
    </row>
    <row r="74" spans="2:7" x14ac:dyDescent="0.2">
      <c r="C74" s="25"/>
      <c r="D74" s="2"/>
      <c r="E74" s="5"/>
      <c r="F74" s="5"/>
      <c r="G74" s="6" t="str">
        <f t="shared" si="4"/>
        <v/>
      </c>
    </row>
    <row r="75" spans="2:7" x14ac:dyDescent="0.2">
      <c r="C75" s="25"/>
      <c r="D75" s="2"/>
      <c r="E75" s="5"/>
      <c r="F75" s="5"/>
      <c r="G75" s="6" t="str">
        <f t="shared" si="4"/>
        <v/>
      </c>
    </row>
    <row r="76" spans="2:7" x14ac:dyDescent="0.2">
      <c r="C76" s="25"/>
      <c r="D76" s="2"/>
      <c r="E76" s="5"/>
      <c r="F76" s="5"/>
      <c r="G76" s="6" t="str">
        <f t="shared" si="4"/>
        <v/>
      </c>
    </row>
    <row r="77" spans="2:7" x14ac:dyDescent="0.2">
      <c r="C77" s="25"/>
      <c r="D77" s="2"/>
      <c r="E77" s="5"/>
      <c r="F77" s="5"/>
      <c r="G77" s="6" t="str">
        <f t="shared" si="4"/>
        <v/>
      </c>
    </row>
    <row r="78" spans="2:7" x14ac:dyDescent="0.2">
      <c r="C78" s="25"/>
      <c r="D78" s="2"/>
      <c r="E78" s="5"/>
      <c r="F78" s="5"/>
      <c r="G78" s="6" t="str">
        <f t="shared" si="4"/>
        <v/>
      </c>
    </row>
    <row r="79" spans="2:7" x14ac:dyDescent="0.2">
      <c r="C79" s="25"/>
      <c r="D79" s="2"/>
      <c r="E79" s="5"/>
      <c r="F79" s="5"/>
      <c r="G79" s="6" t="str">
        <f t="shared" si="4"/>
        <v/>
      </c>
    </row>
    <row r="80" spans="2:7" x14ac:dyDescent="0.2">
      <c r="C80" s="25"/>
      <c r="D80" s="2"/>
      <c r="E80" s="5"/>
      <c r="F80" s="5"/>
      <c r="G80" s="6" t="str">
        <f t="shared" si="4"/>
        <v/>
      </c>
    </row>
    <row r="81" spans="2:7" x14ac:dyDescent="0.2">
      <c r="C81" s="25"/>
      <c r="D81" s="2"/>
      <c r="E81" s="5"/>
      <c r="F81" s="5"/>
      <c r="G81" s="6" t="str">
        <f t="shared" si="4"/>
        <v/>
      </c>
    </row>
    <row r="82" spans="2:7" x14ac:dyDescent="0.2">
      <c r="C82" s="25"/>
      <c r="D82" s="2"/>
      <c r="E82" s="5"/>
      <c r="F82" s="5"/>
      <c r="G82" s="6" t="str">
        <f t="shared" si="4"/>
        <v/>
      </c>
    </row>
    <row r="83" spans="2:7" x14ac:dyDescent="0.2">
      <c r="C83" s="25"/>
      <c r="D83" s="2"/>
      <c r="E83" s="5"/>
      <c r="F83" s="5"/>
      <c r="G83" s="6" t="str">
        <f t="shared" si="4"/>
        <v/>
      </c>
    </row>
    <row r="84" spans="2:7" x14ac:dyDescent="0.2">
      <c r="B84" s="13">
        <f>G84</f>
        <v>0</v>
      </c>
      <c r="C84" s="29"/>
      <c r="D84" s="7"/>
      <c r="E84" s="7"/>
      <c r="F84" s="8" t="s">
        <v>5</v>
      </c>
      <c r="G84" s="9">
        <f>SUM(G70:G83)</f>
        <v>0</v>
      </c>
    </row>
    <row r="85" spans="2:7" x14ac:dyDescent="0.2">
      <c r="C85" s="36">
        <f>C68+1</f>
        <v>44049</v>
      </c>
      <c r="D85" s="37"/>
      <c r="E85" s="37"/>
      <c r="F85" s="37"/>
      <c r="G85" s="38"/>
    </row>
    <row r="86" spans="2:7" x14ac:dyDescent="0.2">
      <c r="C86" s="25" t="s">
        <v>0</v>
      </c>
      <c r="D86" s="2" t="s">
        <v>1</v>
      </c>
      <c r="E86" s="3" t="s">
        <v>2</v>
      </c>
      <c r="F86" s="3" t="s">
        <v>3</v>
      </c>
      <c r="G86" s="4" t="s">
        <v>4</v>
      </c>
    </row>
    <row r="87" spans="2:7" x14ac:dyDescent="0.2">
      <c r="C87" s="25"/>
      <c r="D87" s="2"/>
      <c r="E87" s="5"/>
      <c r="F87" s="5"/>
      <c r="G87" s="6" t="str">
        <f t="shared" ref="G87:G99" si="5">IF(ISBLANK(E87),"",(E87-F87-(E87*0.014+0.25)))</f>
        <v/>
      </c>
    </row>
    <row r="88" spans="2:7" x14ac:dyDescent="0.2">
      <c r="C88" s="25"/>
      <c r="D88" s="2"/>
      <c r="E88" s="5"/>
      <c r="F88" s="5"/>
      <c r="G88" s="6" t="str">
        <f t="shared" si="5"/>
        <v/>
      </c>
    </row>
    <row r="89" spans="2:7" x14ac:dyDescent="0.2">
      <c r="C89" s="25"/>
      <c r="D89" s="2"/>
      <c r="E89" s="5"/>
      <c r="F89" s="5"/>
      <c r="G89" s="6" t="str">
        <f t="shared" si="5"/>
        <v/>
      </c>
    </row>
    <row r="90" spans="2:7" x14ac:dyDescent="0.2">
      <c r="C90" s="25"/>
      <c r="D90" s="2"/>
      <c r="E90" s="5"/>
      <c r="F90" s="5"/>
      <c r="G90" s="6" t="str">
        <f t="shared" si="5"/>
        <v/>
      </c>
    </row>
    <row r="91" spans="2:7" x14ac:dyDescent="0.2">
      <c r="C91" s="25"/>
      <c r="D91" s="2"/>
      <c r="E91" s="5"/>
      <c r="F91" s="5"/>
      <c r="G91" s="6" t="str">
        <f t="shared" si="5"/>
        <v/>
      </c>
    </row>
    <row r="92" spans="2:7" x14ac:dyDescent="0.2">
      <c r="C92" s="25"/>
      <c r="D92" s="2"/>
      <c r="E92" s="5"/>
      <c r="F92" s="5"/>
      <c r="G92" s="6" t="str">
        <f t="shared" si="5"/>
        <v/>
      </c>
    </row>
    <row r="93" spans="2:7" x14ac:dyDescent="0.2">
      <c r="C93" s="25"/>
      <c r="D93" s="2"/>
      <c r="E93" s="5"/>
      <c r="F93" s="5"/>
      <c r="G93" s="6" t="str">
        <f t="shared" si="5"/>
        <v/>
      </c>
    </row>
    <row r="94" spans="2:7" x14ac:dyDescent="0.2">
      <c r="C94" s="25"/>
      <c r="D94" s="2"/>
      <c r="E94" s="5"/>
      <c r="F94" s="5"/>
      <c r="G94" s="6" t="str">
        <f t="shared" si="5"/>
        <v/>
      </c>
    </row>
    <row r="95" spans="2:7" x14ac:dyDescent="0.2">
      <c r="C95" s="25"/>
      <c r="D95" s="2"/>
      <c r="E95" s="5"/>
      <c r="F95" s="5"/>
      <c r="G95" s="6" t="str">
        <f t="shared" si="5"/>
        <v/>
      </c>
    </row>
    <row r="96" spans="2:7" x14ac:dyDescent="0.2">
      <c r="C96" s="25"/>
      <c r="D96" s="2"/>
      <c r="E96" s="5"/>
      <c r="F96" s="5"/>
      <c r="G96" s="6" t="str">
        <f t="shared" si="5"/>
        <v/>
      </c>
    </row>
    <row r="97" spans="2:7" x14ac:dyDescent="0.2">
      <c r="C97" s="25"/>
      <c r="D97" s="2"/>
      <c r="E97" s="5"/>
      <c r="F97" s="5"/>
      <c r="G97" s="6" t="str">
        <f t="shared" si="5"/>
        <v/>
      </c>
    </row>
    <row r="98" spans="2:7" x14ac:dyDescent="0.2">
      <c r="C98" s="25"/>
      <c r="D98" s="2"/>
      <c r="E98" s="5"/>
      <c r="F98" s="5"/>
      <c r="G98" s="6" t="str">
        <f t="shared" si="5"/>
        <v/>
      </c>
    </row>
    <row r="99" spans="2:7" x14ac:dyDescent="0.2">
      <c r="C99" s="25"/>
      <c r="D99" s="2"/>
      <c r="E99" s="5"/>
      <c r="F99" s="5"/>
      <c r="G99" s="6" t="str">
        <f t="shared" si="5"/>
        <v/>
      </c>
    </row>
    <row r="100" spans="2:7" x14ac:dyDescent="0.2">
      <c r="B100" s="13">
        <f>G100</f>
        <v>0</v>
      </c>
      <c r="C100" s="29"/>
      <c r="D100" s="7"/>
      <c r="E100" s="7"/>
      <c r="F100" s="8" t="s">
        <v>5</v>
      </c>
      <c r="G100" s="9">
        <f>SUM(G87:G99)</f>
        <v>0</v>
      </c>
    </row>
    <row r="101" spans="2:7" x14ac:dyDescent="0.2">
      <c r="C101" s="36">
        <f>C85+1</f>
        <v>44050</v>
      </c>
      <c r="D101" s="37"/>
      <c r="E101" s="37"/>
      <c r="F101" s="37"/>
      <c r="G101" s="38"/>
    </row>
    <row r="102" spans="2:7" x14ac:dyDescent="0.2">
      <c r="C102" s="25" t="s">
        <v>0</v>
      </c>
      <c r="D102" s="2" t="s">
        <v>1</v>
      </c>
      <c r="E102" s="3" t="s">
        <v>2</v>
      </c>
      <c r="F102" s="3" t="s">
        <v>3</v>
      </c>
      <c r="G102" s="4" t="s">
        <v>4</v>
      </c>
    </row>
    <row r="103" spans="2:7" x14ac:dyDescent="0.2">
      <c r="C103" s="25"/>
      <c r="D103" s="2"/>
      <c r="E103" s="5"/>
      <c r="F103" s="5"/>
      <c r="G103" s="6" t="str">
        <f t="shared" ref="G103:G115" si="6">IF(ISBLANK(E103),"",(E103-F103-(E103*0.014+0.25)))</f>
        <v/>
      </c>
    </row>
    <row r="104" spans="2:7" x14ac:dyDescent="0.2">
      <c r="C104" s="25"/>
      <c r="D104" s="2"/>
      <c r="E104" s="5"/>
      <c r="F104" s="5"/>
      <c r="G104" s="6" t="str">
        <f t="shared" si="6"/>
        <v/>
      </c>
    </row>
    <row r="105" spans="2:7" x14ac:dyDescent="0.2">
      <c r="C105" s="25"/>
      <c r="D105" s="2"/>
      <c r="E105" s="5"/>
      <c r="F105" s="5"/>
      <c r="G105" s="6" t="str">
        <f t="shared" si="6"/>
        <v/>
      </c>
    </row>
    <row r="106" spans="2:7" x14ac:dyDescent="0.2">
      <c r="C106" s="25"/>
      <c r="D106" s="2"/>
      <c r="E106" s="5"/>
      <c r="F106" s="5"/>
      <c r="G106" s="6" t="str">
        <f t="shared" si="6"/>
        <v/>
      </c>
    </row>
    <row r="107" spans="2:7" x14ac:dyDescent="0.2">
      <c r="C107" s="25"/>
      <c r="D107" s="2"/>
      <c r="E107" s="5"/>
      <c r="F107" s="5"/>
      <c r="G107" s="6" t="str">
        <f t="shared" si="6"/>
        <v/>
      </c>
    </row>
    <row r="108" spans="2:7" x14ac:dyDescent="0.2">
      <c r="C108" s="25"/>
      <c r="D108" s="2"/>
      <c r="E108" s="5"/>
      <c r="F108" s="5"/>
      <c r="G108" s="6" t="str">
        <f t="shared" si="6"/>
        <v/>
      </c>
    </row>
    <row r="109" spans="2:7" x14ac:dyDescent="0.2">
      <c r="C109" s="25"/>
      <c r="D109" s="2"/>
      <c r="E109" s="5"/>
      <c r="F109" s="5"/>
      <c r="G109" s="6" t="str">
        <f t="shared" si="6"/>
        <v/>
      </c>
    </row>
    <row r="110" spans="2:7" x14ac:dyDescent="0.2">
      <c r="C110" s="25"/>
      <c r="D110" s="2"/>
      <c r="E110" s="5"/>
      <c r="F110" s="5"/>
      <c r="G110" s="6" t="str">
        <f t="shared" si="6"/>
        <v/>
      </c>
    </row>
    <row r="111" spans="2:7" x14ac:dyDescent="0.2">
      <c r="C111" s="25"/>
      <c r="D111" s="2"/>
      <c r="E111" s="5"/>
      <c r="F111" s="5"/>
      <c r="G111" s="6" t="str">
        <f t="shared" si="6"/>
        <v/>
      </c>
    </row>
    <row r="112" spans="2:7" x14ac:dyDescent="0.2">
      <c r="C112" s="25"/>
      <c r="D112" s="2"/>
      <c r="E112" s="5"/>
      <c r="F112" s="5"/>
      <c r="G112" s="6" t="str">
        <f t="shared" si="6"/>
        <v/>
      </c>
    </row>
    <row r="113" spans="2:7" x14ac:dyDescent="0.2">
      <c r="C113" s="25"/>
      <c r="D113" s="2"/>
      <c r="E113" s="5"/>
      <c r="F113" s="5"/>
      <c r="G113" s="6" t="str">
        <f t="shared" si="6"/>
        <v/>
      </c>
    </row>
    <row r="114" spans="2:7" x14ac:dyDescent="0.2">
      <c r="C114" s="25"/>
      <c r="D114" s="2"/>
      <c r="E114" s="5"/>
      <c r="F114" s="5"/>
      <c r="G114" s="6" t="str">
        <f t="shared" si="6"/>
        <v/>
      </c>
    </row>
    <row r="115" spans="2:7" x14ac:dyDescent="0.2">
      <c r="C115" s="25"/>
      <c r="D115" s="2"/>
      <c r="E115" s="5"/>
      <c r="F115" s="5"/>
      <c r="G115" s="6" t="str">
        <f t="shared" si="6"/>
        <v/>
      </c>
    </row>
    <row r="116" spans="2:7" x14ac:dyDescent="0.2">
      <c r="B116" s="13">
        <f>G116</f>
        <v>0</v>
      </c>
      <c r="C116" s="29"/>
      <c r="D116" s="7"/>
      <c r="E116" s="7"/>
      <c r="F116" s="8" t="s">
        <v>5</v>
      </c>
      <c r="G116" s="9">
        <f>SUM(G103:G115)</f>
        <v>0</v>
      </c>
    </row>
    <row r="117" spans="2:7" x14ac:dyDescent="0.2">
      <c r="C117" s="36">
        <f>C101+1</f>
        <v>44051</v>
      </c>
      <c r="D117" s="37"/>
      <c r="E117" s="37"/>
      <c r="F117" s="37"/>
      <c r="G117" s="38"/>
    </row>
    <row r="118" spans="2:7" x14ac:dyDescent="0.2">
      <c r="C118" s="25" t="s">
        <v>0</v>
      </c>
      <c r="D118" s="2" t="s">
        <v>1</v>
      </c>
      <c r="E118" s="3" t="s">
        <v>2</v>
      </c>
      <c r="F118" s="3" t="s">
        <v>3</v>
      </c>
      <c r="G118" s="4" t="s">
        <v>4</v>
      </c>
    </row>
    <row r="119" spans="2:7" x14ac:dyDescent="0.2">
      <c r="C119" s="25"/>
      <c r="D119" s="2"/>
      <c r="E119" s="5"/>
      <c r="F119" s="5"/>
      <c r="G119" s="6" t="str">
        <f t="shared" ref="G119:G131" si="7">IF(ISBLANK(E119),"",(E119-F119-(E119*0.014+0.25)))</f>
        <v/>
      </c>
    </row>
    <row r="120" spans="2:7" x14ac:dyDescent="0.2">
      <c r="C120" s="25"/>
      <c r="D120" s="2"/>
      <c r="E120" s="5"/>
      <c r="F120" s="5"/>
      <c r="G120" s="6" t="str">
        <f t="shared" si="7"/>
        <v/>
      </c>
    </row>
    <row r="121" spans="2:7" x14ac:dyDescent="0.2">
      <c r="C121" s="25"/>
      <c r="D121" s="2"/>
      <c r="E121" s="5"/>
      <c r="F121" s="5"/>
      <c r="G121" s="6" t="str">
        <f t="shared" si="7"/>
        <v/>
      </c>
    </row>
    <row r="122" spans="2:7" x14ac:dyDescent="0.2">
      <c r="C122" s="25"/>
      <c r="D122" s="2"/>
      <c r="E122" s="5"/>
      <c r="F122" s="5"/>
      <c r="G122" s="6" t="str">
        <f t="shared" si="7"/>
        <v/>
      </c>
    </row>
    <row r="123" spans="2:7" x14ac:dyDescent="0.2">
      <c r="C123" s="25"/>
      <c r="D123" s="2"/>
      <c r="E123" s="5"/>
      <c r="F123" s="5"/>
      <c r="G123" s="6" t="str">
        <f t="shared" si="7"/>
        <v/>
      </c>
    </row>
    <row r="124" spans="2:7" x14ac:dyDescent="0.2">
      <c r="C124" s="25"/>
      <c r="D124" s="2"/>
      <c r="E124" s="5"/>
      <c r="F124" s="5"/>
      <c r="G124" s="6" t="str">
        <f t="shared" si="7"/>
        <v/>
      </c>
    </row>
    <row r="125" spans="2:7" x14ac:dyDescent="0.2">
      <c r="C125" s="25"/>
      <c r="D125" s="2"/>
      <c r="E125" s="5"/>
      <c r="F125" s="5"/>
      <c r="G125" s="6" t="str">
        <f t="shared" si="7"/>
        <v/>
      </c>
    </row>
    <row r="126" spans="2:7" x14ac:dyDescent="0.2">
      <c r="C126" s="25"/>
      <c r="D126" s="2"/>
      <c r="E126" s="5"/>
      <c r="F126" s="5"/>
      <c r="G126" s="6" t="str">
        <f t="shared" si="7"/>
        <v/>
      </c>
    </row>
    <row r="127" spans="2:7" x14ac:dyDescent="0.2">
      <c r="C127" s="25"/>
      <c r="D127" s="2"/>
      <c r="E127" s="5"/>
      <c r="F127" s="5"/>
      <c r="G127" s="6" t="str">
        <f t="shared" si="7"/>
        <v/>
      </c>
    </row>
    <row r="128" spans="2:7" x14ac:dyDescent="0.2">
      <c r="C128" s="25"/>
      <c r="D128" s="2"/>
      <c r="E128" s="5"/>
      <c r="F128" s="5"/>
      <c r="G128" s="6" t="str">
        <f t="shared" si="7"/>
        <v/>
      </c>
    </row>
    <row r="129" spans="2:7" x14ac:dyDescent="0.2">
      <c r="C129" s="25"/>
      <c r="D129" s="2"/>
      <c r="E129" s="5"/>
      <c r="F129" s="5"/>
      <c r="G129" s="6" t="str">
        <f t="shared" si="7"/>
        <v/>
      </c>
    </row>
    <row r="130" spans="2:7" x14ac:dyDescent="0.2">
      <c r="C130" s="25"/>
      <c r="D130" s="2"/>
      <c r="E130" s="5"/>
      <c r="F130" s="5"/>
      <c r="G130" s="6" t="str">
        <f t="shared" si="7"/>
        <v/>
      </c>
    </row>
    <row r="131" spans="2:7" x14ac:dyDescent="0.2">
      <c r="C131" s="25"/>
      <c r="D131" s="2"/>
      <c r="E131" s="5"/>
      <c r="F131" s="5"/>
      <c r="G131" s="6" t="str">
        <f t="shared" si="7"/>
        <v/>
      </c>
    </row>
    <row r="132" spans="2:7" x14ac:dyDescent="0.2">
      <c r="B132" s="13">
        <f>G132</f>
        <v>0</v>
      </c>
      <c r="C132" s="29"/>
      <c r="D132" s="7"/>
      <c r="E132" s="7"/>
      <c r="F132" s="8" t="s">
        <v>5</v>
      </c>
      <c r="G132" s="9">
        <f>SUM(G119:G131)</f>
        <v>0</v>
      </c>
    </row>
    <row r="133" spans="2:7" x14ac:dyDescent="0.2">
      <c r="C133" s="36">
        <f>C117+1</f>
        <v>44052</v>
      </c>
      <c r="D133" s="37"/>
      <c r="E133" s="37"/>
      <c r="F133" s="37"/>
      <c r="G133" s="38"/>
    </row>
    <row r="134" spans="2:7" x14ac:dyDescent="0.2">
      <c r="C134" s="25" t="s">
        <v>0</v>
      </c>
      <c r="D134" s="2" t="s">
        <v>1</v>
      </c>
      <c r="E134" s="3" t="s">
        <v>2</v>
      </c>
      <c r="F134" s="3" t="s">
        <v>3</v>
      </c>
      <c r="G134" s="4" t="s">
        <v>4</v>
      </c>
    </row>
    <row r="135" spans="2:7" x14ac:dyDescent="0.2">
      <c r="C135" s="25"/>
      <c r="D135" s="2"/>
      <c r="E135" s="5"/>
      <c r="F135" s="5"/>
      <c r="G135" s="6" t="str">
        <f t="shared" ref="G135:G145" si="8">IF(ISBLANK(E135),"",(E135-F135-(E135*0.014+0.25)))</f>
        <v/>
      </c>
    </row>
    <row r="136" spans="2:7" x14ac:dyDescent="0.2">
      <c r="C136" s="25"/>
      <c r="D136" s="2"/>
      <c r="E136" s="5"/>
      <c r="F136" s="5"/>
      <c r="G136" s="6" t="str">
        <f t="shared" si="8"/>
        <v/>
      </c>
    </row>
    <row r="137" spans="2:7" x14ac:dyDescent="0.2">
      <c r="C137" s="25"/>
      <c r="D137" s="2"/>
      <c r="E137" s="5"/>
      <c r="F137" s="5"/>
      <c r="G137" s="6" t="str">
        <f t="shared" si="8"/>
        <v/>
      </c>
    </row>
    <row r="138" spans="2:7" x14ac:dyDescent="0.2">
      <c r="C138" s="25"/>
      <c r="D138" s="2"/>
      <c r="E138" s="5"/>
      <c r="F138" s="5"/>
      <c r="G138" s="6" t="str">
        <f t="shared" si="8"/>
        <v/>
      </c>
    </row>
    <row r="139" spans="2:7" x14ac:dyDescent="0.2">
      <c r="C139" s="25"/>
      <c r="D139" s="2"/>
      <c r="E139" s="5"/>
      <c r="F139" s="5"/>
      <c r="G139" s="6" t="str">
        <f t="shared" si="8"/>
        <v/>
      </c>
    </row>
    <row r="140" spans="2:7" x14ac:dyDescent="0.2">
      <c r="C140" s="25"/>
      <c r="D140" s="2"/>
      <c r="E140" s="5"/>
      <c r="F140" s="5"/>
      <c r="G140" s="6" t="str">
        <f t="shared" si="8"/>
        <v/>
      </c>
    </row>
    <row r="141" spans="2:7" x14ac:dyDescent="0.2">
      <c r="C141" s="25"/>
      <c r="D141" s="2"/>
      <c r="E141" s="5"/>
      <c r="F141" s="5"/>
      <c r="G141" s="6" t="str">
        <f t="shared" si="8"/>
        <v/>
      </c>
    </row>
    <row r="142" spans="2:7" x14ac:dyDescent="0.2">
      <c r="C142" s="25"/>
      <c r="D142" s="2"/>
      <c r="E142" s="5"/>
      <c r="F142" s="5"/>
      <c r="G142" s="6" t="str">
        <f t="shared" si="8"/>
        <v/>
      </c>
    </row>
    <row r="143" spans="2:7" x14ac:dyDescent="0.2">
      <c r="C143" s="25"/>
      <c r="D143" s="2"/>
      <c r="E143" s="5"/>
      <c r="F143" s="5"/>
      <c r="G143" s="6" t="str">
        <f t="shared" si="8"/>
        <v/>
      </c>
    </row>
    <row r="144" spans="2:7" x14ac:dyDescent="0.2">
      <c r="C144" s="25"/>
      <c r="D144" s="2"/>
      <c r="E144" s="5"/>
      <c r="F144" s="5"/>
      <c r="G144" s="6" t="str">
        <f t="shared" si="8"/>
        <v/>
      </c>
    </row>
    <row r="145" spans="2:7" x14ac:dyDescent="0.2">
      <c r="C145" s="25"/>
      <c r="D145" s="2"/>
      <c r="E145" s="5"/>
      <c r="F145" s="5"/>
      <c r="G145" s="6" t="str">
        <f t="shared" si="8"/>
        <v/>
      </c>
    </row>
    <row r="146" spans="2:7" x14ac:dyDescent="0.2">
      <c r="B146" s="13">
        <f>G146</f>
        <v>0</v>
      </c>
      <c r="C146" s="29"/>
      <c r="D146" s="7"/>
      <c r="E146" s="7"/>
      <c r="F146" s="8" t="s">
        <v>5</v>
      </c>
      <c r="G146" s="9">
        <f>SUM(G135:G145)</f>
        <v>0</v>
      </c>
    </row>
    <row r="147" spans="2:7" x14ac:dyDescent="0.2">
      <c r="C147" s="36">
        <f>C133+1</f>
        <v>44053</v>
      </c>
      <c r="D147" s="37"/>
      <c r="E147" s="37"/>
      <c r="F147" s="37"/>
      <c r="G147" s="38"/>
    </row>
    <row r="148" spans="2:7" x14ac:dyDescent="0.2">
      <c r="C148" s="25" t="s">
        <v>0</v>
      </c>
      <c r="D148" s="2" t="s">
        <v>1</v>
      </c>
      <c r="E148" s="3" t="s">
        <v>2</v>
      </c>
      <c r="F148" s="3" t="s">
        <v>3</v>
      </c>
      <c r="G148" s="4" t="s">
        <v>4</v>
      </c>
    </row>
    <row r="149" spans="2:7" x14ac:dyDescent="0.2">
      <c r="C149" s="25"/>
      <c r="D149" s="2"/>
      <c r="E149" s="5"/>
      <c r="F149" s="5"/>
      <c r="G149" s="6" t="str">
        <f t="shared" ref="G149:G159" si="9">IF(ISBLANK(E149),"",(E149-F149-(E149*0.014+0.25)))</f>
        <v/>
      </c>
    </row>
    <row r="150" spans="2:7" x14ac:dyDescent="0.2">
      <c r="C150" s="25"/>
      <c r="D150" s="2"/>
      <c r="E150" s="5"/>
      <c r="F150" s="5"/>
      <c r="G150" s="6" t="str">
        <f t="shared" si="9"/>
        <v/>
      </c>
    </row>
    <row r="151" spans="2:7" x14ac:dyDescent="0.2">
      <c r="C151" s="25"/>
      <c r="D151" s="2"/>
      <c r="E151" s="5"/>
      <c r="F151" s="5"/>
      <c r="G151" s="6" t="str">
        <f t="shared" si="9"/>
        <v/>
      </c>
    </row>
    <row r="152" spans="2:7" x14ac:dyDescent="0.2">
      <c r="C152" s="25"/>
      <c r="D152" s="2"/>
      <c r="E152" s="5"/>
      <c r="F152" s="5"/>
      <c r="G152" s="6" t="str">
        <f t="shared" si="9"/>
        <v/>
      </c>
    </row>
    <row r="153" spans="2:7" x14ac:dyDescent="0.2">
      <c r="C153" s="25"/>
      <c r="D153" s="2"/>
      <c r="E153" s="5"/>
      <c r="F153" s="5"/>
      <c r="G153" s="6" t="str">
        <f t="shared" si="9"/>
        <v/>
      </c>
    </row>
    <row r="154" spans="2:7" x14ac:dyDescent="0.2">
      <c r="C154" s="25"/>
      <c r="D154" s="2"/>
      <c r="E154" s="5"/>
      <c r="F154" s="5"/>
      <c r="G154" s="6" t="str">
        <f t="shared" si="9"/>
        <v/>
      </c>
    </row>
    <row r="155" spans="2:7" x14ac:dyDescent="0.2">
      <c r="C155" s="25"/>
      <c r="D155" s="2"/>
      <c r="E155" s="5"/>
      <c r="F155" s="5"/>
      <c r="G155" s="6" t="str">
        <f t="shared" si="9"/>
        <v/>
      </c>
    </row>
    <row r="156" spans="2:7" x14ac:dyDescent="0.2">
      <c r="C156" s="25"/>
      <c r="D156" s="2"/>
      <c r="E156" s="5"/>
      <c r="F156" s="5"/>
      <c r="G156" s="6" t="str">
        <f t="shared" si="9"/>
        <v/>
      </c>
    </row>
    <row r="157" spans="2:7" x14ac:dyDescent="0.2">
      <c r="C157" s="25"/>
      <c r="D157" s="2"/>
      <c r="E157" s="5"/>
      <c r="F157" s="5"/>
      <c r="G157" s="6" t="str">
        <f t="shared" si="9"/>
        <v/>
      </c>
    </row>
    <row r="158" spans="2:7" x14ac:dyDescent="0.2">
      <c r="C158" s="25"/>
      <c r="D158" s="2"/>
      <c r="E158" s="5"/>
      <c r="F158" s="5"/>
      <c r="G158" s="6" t="str">
        <f t="shared" si="9"/>
        <v/>
      </c>
    </row>
    <row r="159" spans="2:7" x14ac:dyDescent="0.2">
      <c r="C159" s="25"/>
      <c r="D159" s="2"/>
      <c r="E159" s="5"/>
      <c r="F159" s="5"/>
      <c r="G159" s="6" t="str">
        <f t="shared" si="9"/>
        <v/>
      </c>
    </row>
    <row r="160" spans="2:7" x14ac:dyDescent="0.2">
      <c r="B160" s="13">
        <f>G160</f>
        <v>0</v>
      </c>
      <c r="C160" s="29"/>
      <c r="D160" s="7"/>
      <c r="E160" s="7"/>
      <c r="F160" s="8" t="s">
        <v>5</v>
      </c>
      <c r="G160" s="9">
        <f>SUM(G149:G159)</f>
        <v>0</v>
      </c>
    </row>
    <row r="161" spans="2:7" x14ac:dyDescent="0.2">
      <c r="C161" s="36">
        <f>C147+1</f>
        <v>44054</v>
      </c>
      <c r="D161" s="37"/>
      <c r="E161" s="37"/>
      <c r="F161" s="37"/>
      <c r="G161" s="38"/>
    </row>
    <row r="162" spans="2:7" x14ac:dyDescent="0.2">
      <c r="C162" s="25" t="s">
        <v>0</v>
      </c>
      <c r="D162" s="2" t="s">
        <v>1</v>
      </c>
      <c r="E162" s="3" t="s">
        <v>2</v>
      </c>
      <c r="F162" s="3" t="s">
        <v>3</v>
      </c>
      <c r="G162" s="4" t="s">
        <v>4</v>
      </c>
    </row>
    <row r="163" spans="2:7" x14ac:dyDescent="0.2">
      <c r="C163" s="25"/>
      <c r="D163" s="2"/>
      <c r="E163" s="5"/>
      <c r="F163" s="5"/>
      <c r="G163" s="6" t="str">
        <f t="shared" ref="G163:G175" si="10">IF(ISBLANK(E163),"",(E163-F163-(E163*0.014+0.25)))</f>
        <v/>
      </c>
    </row>
    <row r="164" spans="2:7" x14ac:dyDescent="0.2">
      <c r="C164" s="25"/>
      <c r="D164" s="2"/>
      <c r="E164" s="5"/>
      <c r="F164" s="5"/>
      <c r="G164" s="6" t="str">
        <f t="shared" si="10"/>
        <v/>
      </c>
    </row>
    <row r="165" spans="2:7" x14ac:dyDescent="0.2">
      <c r="C165" s="25"/>
      <c r="D165" s="2"/>
      <c r="E165" s="5"/>
      <c r="F165" s="5"/>
      <c r="G165" s="6" t="str">
        <f t="shared" si="10"/>
        <v/>
      </c>
    </row>
    <row r="166" spans="2:7" x14ac:dyDescent="0.2">
      <c r="C166" s="25"/>
      <c r="D166" s="2"/>
      <c r="E166" s="5"/>
      <c r="F166" s="5"/>
      <c r="G166" s="6" t="str">
        <f t="shared" si="10"/>
        <v/>
      </c>
    </row>
    <row r="167" spans="2:7" x14ac:dyDescent="0.2">
      <c r="C167" s="25"/>
      <c r="D167" s="2"/>
      <c r="E167" s="5"/>
      <c r="F167" s="5"/>
      <c r="G167" s="6" t="str">
        <f t="shared" si="10"/>
        <v/>
      </c>
    </row>
    <row r="168" spans="2:7" x14ac:dyDescent="0.2">
      <c r="C168" s="25"/>
      <c r="D168" s="2"/>
      <c r="E168" s="5"/>
      <c r="F168" s="5"/>
      <c r="G168" s="6" t="str">
        <f t="shared" si="10"/>
        <v/>
      </c>
    </row>
    <row r="169" spans="2:7" x14ac:dyDescent="0.2">
      <c r="C169" s="25"/>
      <c r="D169" s="2"/>
      <c r="E169" s="5"/>
      <c r="F169" s="5"/>
      <c r="G169" s="6" t="str">
        <f t="shared" si="10"/>
        <v/>
      </c>
    </row>
    <row r="170" spans="2:7" x14ac:dyDescent="0.2">
      <c r="C170" s="25"/>
      <c r="D170" s="2"/>
      <c r="E170" s="5"/>
      <c r="F170" s="5"/>
      <c r="G170" s="6" t="str">
        <f t="shared" si="10"/>
        <v/>
      </c>
    </row>
    <row r="171" spans="2:7" x14ac:dyDescent="0.2">
      <c r="C171" s="25"/>
      <c r="D171" s="2"/>
      <c r="E171" s="5"/>
      <c r="F171" s="5"/>
      <c r="G171" s="6" t="str">
        <f t="shared" si="10"/>
        <v/>
      </c>
    </row>
    <row r="172" spans="2:7" x14ac:dyDescent="0.2">
      <c r="C172" s="25"/>
      <c r="D172" s="2"/>
      <c r="E172" s="5"/>
      <c r="F172" s="5"/>
      <c r="G172" s="6" t="str">
        <f t="shared" si="10"/>
        <v/>
      </c>
    </row>
    <row r="173" spans="2:7" x14ac:dyDescent="0.2">
      <c r="C173" s="25"/>
      <c r="D173" s="2"/>
      <c r="E173" s="5"/>
      <c r="F173" s="5"/>
      <c r="G173" s="6" t="str">
        <f t="shared" si="10"/>
        <v/>
      </c>
    </row>
    <row r="174" spans="2:7" x14ac:dyDescent="0.2">
      <c r="C174" s="25"/>
      <c r="D174" s="2"/>
      <c r="E174" s="5"/>
      <c r="F174" s="5"/>
      <c r="G174" s="6" t="str">
        <f t="shared" si="10"/>
        <v/>
      </c>
    </row>
    <row r="175" spans="2:7" x14ac:dyDescent="0.2">
      <c r="C175" s="25"/>
      <c r="D175" s="2"/>
      <c r="E175" s="5"/>
      <c r="F175" s="5"/>
      <c r="G175" s="6" t="str">
        <f t="shared" si="10"/>
        <v/>
      </c>
    </row>
    <row r="176" spans="2:7" x14ac:dyDescent="0.2">
      <c r="B176" s="13">
        <f>G176</f>
        <v>0</v>
      </c>
      <c r="C176" s="29"/>
      <c r="D176" s="7"/>
      <c r="E176" s="7"/>
      <c r="F176" s="8" t="s">
        <v>5</v>
      </c>
      <c r="G176" s="9">
        <f>SUM(G163:G175)</f>
        <v>0</v>
      </c>
    </row>
    <row r="177" spans="2:7" x14ac:dyDescent="0.2">
      <c r="C177" s="36">
        <f>C161+1</f>
        <v>44055</v>
      </c>
      <c r="D177" s="37"/>
      <c r="E177" s="37"/>
      <c r="F177" s="37"/>
      <c r="G177" s="38"/>
    </row>
    <row r="178" spans="2:7" x14ac:dyDescent="0.2">
      <c r="C178" s="25" t="s">
        <v>0</v>
      </c>
      <c r="D178" s="2" t="s">
        <v>1</v>
      </c>
      <c r="E178" s="3" t="s">
        <v>2</v>
      </c>
      <c r="F178" s="3" t="s">
        <v>3</v>
      </c>
      <c r="G178" s="4" t="s">
        <v>4</v>
      </c>
    </row>
    <row r="179" spans="2:7" x14ac:dyDescent="0.2">
      <c r="C179" s="25"/>
      <c r="D179" s="2"/>
      <c r="E179" s="5"/>
      <c r="F179" s="5"/>
      <c r="G179" s="6" t="str">
        <f t="shared" ref="G179:G188" si="11">IF(ISBLANK(E179),"",(E179-F179-(E179*0.014+0.25)))</f>
        <v/>
      </c>
    </row>
    <row r="180" spans="2:7" x14ac:dyDescent="0.2">
      <c r="C180" s="25"/>
      <c r="D180" s="2"/>
      <c r="E180" s="5"/>
      <c r="F180" s="5"/>
      <c r="G180" s="6" t="str">
        <f t="shared" si="11"/>
        <v/>
      </c>
    </row>
    <row r="181" spans="2:7" x14ac:dyDescent="0.2">
      <c r="C181" s="25"/>
      <c r="D181" s="2"/>
      <c r="E181" s="5"/>
      <c r="F181" s="5"/>
      <c r="G181" s="6" t="str">
        <f t="shared" si="11"/>
        <v/>
      </c>
    </row>
    <row r="182" spans="2:7" x14ac:dyDescent="0.2">
      <c r="C182" s="25"/>
      <c r="D182" s="2"/>
      <c r="E182" s="5"/>
      <c r="F182" s="5"/>
      <c r="G182" s="6" t="str">
        <f t="shared" si="11"/>
        <v/>
      </c>
    </row>
    <row r="183" spans="2:7" x14ac:dyDescent="0.2">
      <c r="C183" s="25"/>
      <c r="D183" s="2"/>
      <c r="E183" s="5"/>
      <c r="F183" s="5"/>
      <c r="G183" s="6" t="str">
        <f t="shared" si="11"/>
        <v/>
      </c>
    </row>
    <row r="184" spans="2:7" x14ac:dyDescent="0.2">
      <c r="C184" s="25"/>
      <c r="D184" s="2"/>
      <c r="E184" s="5"/>
      <c r="F184" s="5"/>
      <c r="G184" s="6" t="str">
        <f t="shared" si="11"/>
        <v/>
      </c>
    </row>
    <row r="185" spans="2:7" x14ac:dyDescent="0.2">
      <c r="C185" s="25"/>
      <c r="D185" s="2"/>
      <c r="E185" s="5"/>
      <c r="F185" s="5"/>
      <c r="G185" s="6" t="str">
        <f t="shared" si="11"/>
        <v/>
      </c>
    </row>
    <row r="186" spans="2:7" x14ac:dyDescent="0.2">
      <c r="C186" s="25"/>
      <c r="D186" s="2"/>
      <c r="E186" s="5"/>
      <c r="F186" s="5"/>
      <c r="G186" s="6" t="str">
        <f t="shared" si="11"/>
        <v/>
      </c>
    </row>
    <row r="187" spans="2:7" x14ac:dyDescent="0.2">
      <c r="C187" s="25"/>
      <c r="D187" s="2"/>
      <c r="E187" s="5"/>
      <c r="F187" s="5"/>
      <c r="G187" s="6" t="str">
        <f t="shared" si="11"/>
        <v/>
      </c>
    </row>
    <row r="188" spans="2:7" x14ac:dyDescent="0.2">
      <c r="C188" s="25"/>
      <c r="D188" s="2"/>
      <c r="E188" s="5"/>
      <c r="F188" s="5"/>
      <c r="G188" s="6" t="str">
        <f t="shared" si="11"/>
        <v/>
      </c>
    </row>
    <row r="189" spans="2:7" x14ac:dyDescent="0.2">
      <c r="B189" s="13">
        <f>G189</f>
        <v>0</v>
      </c>
      <c r="C189" s="29"/>
      <c r="D189" s="7"/>
      <c r="E189" s="7"/>
      <c r="F189" s="8" t="s">
        <v>5</v>
      </c>
      <c r="G189" s="9">
        <f>SUM(G179:G188)</f>
        <v>0</v>
      </c>
    </row>
    <row r="190" spans="2:7" x14ac:dyDescent="0.2">
      <c r="C190" s="36">
        <f>C177+1</f>
        <v>44056</v>
      </c>
      <c r="D190" s="37"/>
      <c r="E190" s="37"/>
      <c r="F190" s="37"/>
      <c r="G190" s="38"/>
    </row>
    <row r="191" spans="2:7" x14ac:dyDescent="0.2">
      <c r="C191" s="25" t="s">
        <v>0</v>
      </c>
      <c r="D191" s="2" t="s">
        <v>1</v>
      </c>
      <c r="E191" s="3" t="s">
        <v>2</v>
      </c>
      <c r="F191" s="3" t="s">
        <v>3</v>
      </c>
      <c r="G191" s="4" t="s">
        <v>4</v>
      </c>
    </row>
    <row r="192" spans="2:7" x14ac:dyDescent="0.2">
      <c r="C192" s="25"/>
      <c r="D192" s="2"/>
      <c r="E192" s="5"/>
      <c r="F192" s="5"/>
      <c r="G192" s="6" t="str">
        <f t="shared" ref="G192:G201" si="12">IF(ISBLANK(E192),"",(E192-F192-(E192*0.014+0.25)))</f>
        <v/>
      </c>
    </row>
    <row r="193" spans="2:7" x14ac:dyDescent="0.2">
      <c r="C193" s="25"/>
      <c r="D193" s="2"/>
      <c r="E193" s="5"/>
      <c r="F193" s="5"/>
      <c r="G193" s="6" t="str">
        <f t="shared" si="12"/>
        <v/>
      </c>
    </row>
    <row r="194" spans="2:7" x14ac:dyDescent="0.2">
      <c r="C194" s="25"/>
      <c r="D194" s="2"/>
      <c r="E194" s="5"/>
      <c r="F194" s="5"/>
      <c r="G194" s="6" t="str">
        <f t="shared" si="12"/>
        <v/>
      </c>
    </row>
    <row r="195" spans="2:7" x14ac:dyDescent="0.2">
      <c r="C195" s="25"/>
      <c r="D195" s="2"/>
      <c r="E195" s="5"/>
      <c r="F195" s="5"/>
      <c r="G195" s="6" t="str">
        <f t="shared" si="12"/>
        <v/>
      </c>
    </row>
    <row r="196" spans="2:7" x14ac:dyDescent="0.2">
      <c r="C196" s="25"/>
      <c r="D196" s="2"/>
      <c r="E196" s="5"/>
      <c r="F196" s="5"/>
      <c r="G196" s="6" t="str">
        <f t="shared" si="12"/>
        <v/>
      </c>
    </row>
    <row r="197" spans="2:7" x14ac:dyDescent="0.2">
      <c r="C197" s="25"/>
      <c r="D197" s="2"/>
      <c r="E197" s="5"/>
      <c r="F197" s="5"/>
      <c r="G197" s="6" t="str">
        <f t="shared" si="12"/>
        <v/>
      </c>
    </row>
    <row r="198" spans="2:7" x14ac:dyDescent="0.2">
      <c r="C198" s="25"/>
      <c r="D198" s="2"/>
      <c r="E198" s="5"/>
      <c r="F198" s="5"/>
      <c r="G198" s="6" t="str">
        <f t="shared" si="12"/>
        <v/>
      </c>
    </row>
    <row r="199" spans="2:7" x14ac:dyDescent="0.2">
      <c r="C199" s="25"/>
      <c r="D199" s="2"/>
      <c r="E199" s="5"/>
      <c r="F199" s="5"/>
      <c r="G199" s="6" t="str">
        <f t="shared" si="12"/>
        <v/>
      </c>
    </row>
    <row r="200" spans="2:7" x14ac:dyDescent="0.2">
      <c r="C200" s="25"/>
      <c r="D200" s="2"/>
      <c r="E200" s="5"/>
      <c r="F200" s="5"/>
      <c r="G200" s="6" t="str">
        <f t="shared" si="12"/>
        <v/>
      </c>
    </row>
    <row r="201" spans="2:7" x14ac:dyDescent="0.2">
      <c r="C201" s="25"/>
      <c r="D201" s="2"/>
      <c r="E201" s="5"/>
      <c r="F201" s="5"/>
      <c r="G201" s="6" t="str">
        <f t="shared" si="12"/>
        <v/>
      </c>
    </row>
    <row r="202" spans="2:7" x14ac:dyDescent="0.2">
      <c r="B202" s="13">
        <f>G202</f>
        <v>0</v>
      </c>
      <c r="C202" s="29"/>
      <c r="D202" s="7"/>
      <c r="E202" s="7"/>
      <c r="F202" s="8" t="s">
        <v>5</v>
      </c>
      <c r="G202" s="9">
        <f>SUM(G192:G201)</f>
        <v>0</v>
      </c>
    </row>
    <row r="203" spans="2:7" x14ac:dyDescent="0.2">
      <c r="C203" s="36">
        <f>C190+1</f>
        <v>44057</v>
      </c>
      <c r="D203" s="37"/>
      <c r="E203" s="37"/>
      <c r="F203" s="37"/>
      <c r="G203" s="38"/>
    </row>
    <row r="204" spans="2:7" x14ac:dyDescent="0.2">
      <c r="C204" s="25" t="s">
        <v>0</v>
      </c>
      <c r="D204" s="2" t="s">
        <v>1</v>
      </c>
      <c r="E204" s="3" t="s">
        <v>2</v>
      </c>
      <c r="F204" s="3" t="s">
        <v>3</v>
      </c>
      <c r="G204" s="4" t="s">
        <v>4</v>
      </c>
    </row>
    <row r="205" spans="2:7" x14ac:dyDescent="0.2">
      <c r="C205" s="25"/>
      <c r="D205" s="2"/>
      <c r="E205" s="5"/>
      <c r="F205" s="5"/>
      <c r="G205" s="6" t="str">
        <f t="shared" ref="G205:G218" si="13">IF(ISBLANK(E205),"",(E205-F205-(E205*0.014+0.25)))</f>
        <v/>
      </c>
    </row>
    <row r="206" spans="2:7" x14ac:dyDescent="0.2">
      <c r="C206" s="25"/>
      <c r="D206" s="2"/>
      <c r="E206" s="5"/>
      <c r="F206" s="5"/>
      <c r="G206" s="6" t="str">
        <f t="shared" si="13"/>
        <v/>
      </c>
    </row>
    <row r="207" spans="2:7" x14ac:dyDescent="0.2">
      <c r="C207" s="25"/>
      <c r="D207" s="2"/>
      <c r="E207" s="5"/>
      <c r="F207" s="5"/>
      <c r="G207" s="6" t="str">
        <f t="shared" si="13"/>
        <v/>
      </c>
    </row>
    <row r="208" spans="2:7" x14ac:dyDescent="0.2">
      <c r="C208" s="25"/>
      <c r="D208" s="2"/>
      <c r="E208" s="5"/>
      <c r="F208" s="5"/>
      <c r="G208" s="6" t="str">
        <f t="shared" si="13"/>
        <v/>
      </c>
    </row>
    <row r="209" spans="2:7" x14ac:dyDescent="0.2">
      <c r="C209" s="25"/>
      <c r="D209" s="2"/>
      <c r="E209" s="5"/>
      <c r="F209" s="5"/>
      <c r="G209" s="6" t="str">
        <f t="shared" si="13"/>
        <v/>
      </c>
    </row>
    <row r="210" spans="2:7" x14ac:dyDescent="0.2">
      <c r="C210" s="25"/>
      <c r="D210" s="2"/>
      <c r="E210" s="5"/>
      <c r="F210" s="5"/>
      <c r="G210" s="6" t="str">
        <f t="shared" si="13"/>
        <v/>
      </c>
    </row>
    <row r="211" spans="2:7" x14ac:dyDescent="0.2">
      <c r="C211" s="25"/>
      <c r="D211" s="2"/>
      <c r="E211" s="5"/>
      <c r="F211" s="5"/>
      <c r="G211" s="6" t="str">
        <f t="shared" si="13"/>
        <v/>
      </c>
    </row>
    <row r="212" spans="2:7" x14ac:dyDescent="0.2">
      <c r="C212" s="25"/>
      <c r="D212" s="2"/>
      <c r="E212" s="5"/>
      <c r="F212" s="5"/>
      <c r="G212" s="6" t="str">
        <f t="shared" si="13"/>
        <v/>
      </c>
    </row>
    <row r="213" spans="2:7" x14ac:dyDescent="0.2">
      <c r="C213" s="25"/>
      <c r="D213" s="2"/>
      <c r="E213" s="5"/>
      <c r="F213" s="5"/>
      <c r="G213" s="6" t="str">
        <f t="shared" si="13"/>
        <v/>
      </c>
    </row>
    <row r="214" spans="2:7" x14ac:dyDescent="0.2">
      <c r="C214" s="25"/>
      <c r="D214" s="2"/>
      <c r="E214" s="5"/>
      <c r="F214" s="5"/>
      <c r="G214" s="6" t="str">
        <f t="shared" si="13"/>
        <v/>
      </c>
    </row>
    <row r="215" spans="2:7" x14ac:dyDescent="0.2">
      <c r="C215" s="25"/>
      <c r="D215" s="2"/>
      <c r="E215" s="5"/>
      <c r="F215" s="5"/>
      <c r="G215" s="6" t="str">
        <f t="shared" si="13"/>
        <v/>
      </c>
    </row>
    <row r="216" spans="2:7" x14ac:dyDescent="0.2">
      <c r="C216" s="25"/>
      <c r="D216" s="2"/>
      <c r="E216" s="5"/>
      <c r="F216" s="5"/>
      <c r="G216" s="6" t="str">
        <f t="shared" si="13"/>
        <v/>
      </c>
    </row>
    <row r="217" spans="2:7" x14ac:dyDescent="0.2">
      <c r="C217" s="25"/>
      <c r="D217" s="2"/>
      <c r="E217" s="5"/>
      <c r="F217" s="5"/>
      <c r="G217" s="6" t="str">
        <f t="shared" si="13"/>
        <v/>
      </c>
    </row>
    <row r="218" spans="2:7" x14ac:dyDescent="0.2">
      <c r="C218" s="25"/>
      <c r="D218" s="2"/>
      <c r="E218" s="5"/>
      <c r="F218" s="5"/>
      <c r="G218" s="6" t="str">
        <f t="shared" si="13"/>
        <v/>
      </c>
    </row>
    <row r="219" spans="2:7" x14ac:dyDescent="0.2">
      <c r="B219" s="13">
        <f>G219</f>
        <v>0</v>
      </c>
      <c r="C219" s="29"/>
      <c r="D219" s="7"/>
      <c r="E219" s="7"/>
      <c r="F219" s="8" t="s">
        <v>5</v>
      </c>
      <c r="G219" s="9">
        <f>SUM(G205:G218)</f>
        <v>0</v>
      </c>
    </row>
    <row r="220" spans="2:7" x14ac:dyDescent="0.2">
      <c r="C220" s="36">
        <f>C203+1</f>
        <v>44058</v>
      </c>
      <c r="D220" s="37"/>
      <c r="E220" s="37"/>
      <c r="F220" s="37"/>
      <c r="G220" s="38"/>
    </row>
    <row r="221" spans="2:7" x14ac:dyDescent="0.2">
      <c r="C221" s="25" t="s">
        <v>0</v>
      </c>
      <c r="D221" s="2" t="s">
        <v>1</v>
      </c>
      <c r="E221" s="3" t="s">
        <v>2</v>
      </c>
      <c r="F221" s="3" t="s">
        <v>3</v>
      </c>
      <c r="G221" s="4" t="s">
        <v>4</v>
      </c>
    </row>
    <row r="222" spans="2:7" x14ac:dyDescent="0.2">
      <c r="C222" s="25"/>
      <c r="D222" s="2"/>
      <c r="E222" s="5"/>
      <c r="F222" s="5"/>
      <c r="G222" s="6" t="str">
        <f t="shared" ref="G222:G231" si="14">IF(ISBLANK(E222),"",(E222-F222-(E222*0.014+0.25)))</f>
        <v/>
      </c>
    </row>
    <row r="223" spans="2:7" x14ac:dyDescent="0.2">
      <c r="C223" s="25"/>
      <c r="D223" s="2"/>
      <c r="E223" s="5"/>
      <c r="F223" s="5"/>
      <c r="G223" s="6" t="str">
        <f t="shared" si="14"/>
        <v/>
      </c>
    </row>
    <row r="224" spans="2:7" x14ac:dyDescent="0.2">
      <c r="C224" s="25"/>
      <c r="D224" s="2"/>
      <c r="E224" s="5"/>
      <c r="F224" s="5"/>
      <c r="G224" s="6" t="str">
        <f t="shared" si="14"/>
        <v/>
      </c>
    </row>
    <row r="225" spans="2:7" x14ac:dyDescent="0.2">
      <c r="C225" s="25"/>
      <c r="D225" s="2"/>
      <c r="E225" s="5"/>
      <c r="F225" s="5"/>
      <c r="G225" s="6" t="str">
        <f t="shared" si="14"/>
        <v/>
      </c>
    </row>
    <row r="226" spans="2:7" x14ac:dyDescent="0.2">
      <c r="C226" s="25"/>
      <c r="D226" s="2"/>
      <c r="E226" s="5"/>
      <c r="F226" s="5"/>
      <c r="G226" s="6" t="str">
        <f t="shared" si="14"/>
        <v/>
      </c>
    </row>
    <row r="227" spans="2:7" x14ac:dyDescent="0.2">
      <c r="C227" s="25"/>
      <c r="D227" s="2"/>
      <c r="E227" s="5"/>
      <c r="F227" s="5"/>
      <c r="G227" s="6" t="str">
        <f t="shared" si="14"/>
        <v/>
      </c>
    </row>
    <row r="228" spans="2:7" x14ac:dyDescent="0.2">
      <c r="C228" s="25"/>
      <c r="D228" s="2"/>
      <c r="E228" s="5"/>
      <c r="F228" s="5"/>
      <c r="G228" s="6" t="str">
        <f t="shared" si="14"/>
        <v/>
      </c>
    </row>
    <row r="229" spans="2:7" x14ac:dyDescent="0.2">
      <c r="C229" s="25"/>
      <c r="D229" s="2"/>
      <c r="E229" s="5"/>
      <c r="F229" s="5"/>
      <c r="G229" s="6" t="str">
        <f t="shared" si="14"/>
        <v/>
      </c>
    </row>
    <row r="230" spans="2:7" x14ac:dyDescent="0.2">
      <c r="C230" s="25"/>
      <c r="D230" s="2"/>
      <c r="E230" s="5"/>
      <c r="F230" s="5"/>
      <c r="G230" s="6" t="str">
        <f t="shared" si="14"/>
        <v/>
      </c>
    </row>
    <row r="231" spans="2:7" x14ac:dyDescent="0.2">
      <c r="C231" s="25"/>
      <c r="D231" s="2"/>
      <c r="E231" s="5"/>
      <c r="F231" s="5"/>
      <c r="G231" s="6" t="str">
        <f t="shared" si="14"/>
        <v/>
      </c>
    </row>
    <row r="232" spans="2:7" x14ac:dyDescent="0.2">
      <c r="B232" s="13">
        <f>G232</f>
        <v>0</v>
      </c>
      <c r="C232" s="29"/>
      <c r="D232" s="7"/>
      <c r="E232" s="7"/>
      <c r="F232" s="8" t="s">
        <v>5</v>
      </c>
      <c r="G232" s="9">
        <f>SUM(G222:G231)</f>
        <v>0</v>
      </c>
    </row>
    <row r="233" spans="2:7" x14ac:dyDescent="0.2">
      <c r="C233" s="36">
        <f>C220+1</f>
        <v>44059</v>
      </c>
      <c r="D233" s="37"/>
      <c r="E233" s="37"/>
      <c r="F233" s="37"/>
      <c r="G233" s="38"/>
    </row>
    <row r="234" spans="2:7" x14ac:dyDescent="0.2">
      <c r="C234" s="25" t="s">
        <v>0</v>
      </c>
      <c r="D234" s="2" t="s">
        <v>1</v>
      </c>
      <c r="E234" s="3" t="s">
        <v>2</v>
      </c>
      <c r="F234" s="3" t="s">
        <v>3</v>
      </c>
      <c r="G234" s="4" t="s">
        <v>4</v>
      </c>
    </row>
    <row r="235" spans="2:7" x14ac:dyDescent="0.2">
      <c r="C235" s="25"/>
      <c r="D235" s="2"/>
      <c r="E235" s="5"/>
      <c r="F235" s="5"/>
      <c r="G235" s="6" t="str">
        <f t="shared" ref="G235:G245" si="15">IF(ISBLANK(E235),"",(E235-F235-(E235*0.014+0.25)))</f>
        <v/>
      </c>
    </row>
    <row r="236" spans="2:7" x14ac:dyDescent="0.2">
      <c r="C236" s="25"/>
      <c r="D236" s="2"/>
      <c r="E236" s="5"/>
      <c r="F236" s="5"/>
      <c r="G236" s="6" t="str">
        <f t="shared" si="15"/>
        <v/>
      </c>
    </row>
    <row r="237" spans="2:7" x14ac:dyDescent="0.2">
      <c r="C237" s="25"/>
      <c r="D237" s="2"/>
      <c r="E237" s="5"/>
      <c r="F237" s="5"/>
      <c r="G237" s="6" t="str">
        <f t="shared" si="15"/>
        <v/>
      </c>
    </row>
    <row r="238" spans="2:7" x14ac:dyDescent="0.2">
      <c r="C238" s="25"/>
      <c r="D238" s="2"/>
      <c r="E238" s="5"/>
      <c r="F238" s="5"/>
      <c r="G238" s="6" t="str">
        <f t="shared" si="15"/>
        <v/>
      </c>
    </row>
    <row r="239" spans="2:7" x14ac:dyDescent="0.2">
      <c r="C239" s="25"/>
      <c r="D239" s="2"/>
      <c r="E239" s="5"/>
      <c r="F239" s="5"/>
      <c r="G239" s="6" t="str">
        <f t="shared" si="15"/>
        <v/>
      </c>
    </row>
    <row r="240" spans="2:7" x14ac:dyDescent="0.2">
      <c r="C240" s="25"/>
      <c r="D240" s="2"/>
      <c r="E240" s="5"/>
      <c r="F240" s="5"/>
      <c r="G240" s="6" t="str">
        <f t="shared" si="15"/>
        <v/>
      </c>
    </row>
    <row r="241" spans="2:7" x14ac:dyDescent="0.2">
      <c r="C241" s="25"/>
      <c r="D241" s="2"/>
      <c r="E241" s="5"/>
      <c r="F241" s="5"/>
      <c r="G241" s="6" t="str">
        <f t="shared" si="15"/>
        <v/>
      </c>
    </row>
    <row r="242" spans="2:7" x14ac:dyDescent="0.2">
      <c r="C242" s="25"/>
      <c r="D242" s="2"/>
      <c r="E242" s="5"/>
      <c r="F242" s="5"/>
      <c r="G242" s="6" t="str">
        <f t="shared" si="15"/>
        <v/>
      </c>
    </row>
    <row r="243" spans="2:7" x14ac:dyDescent="0.2">
      <c r="C243" s="25"/>
      <c r="D243" s="2"/>
      <c r="E243" s="5"/>
      <c r="F243" s="5"/>
      <c r="G243" s="6" t="str">
        <f t="shared" si="15"/>
        <v/>
      </c>
    </row>
    <row r="244" spans="2:7" x14ac:dyDescent="0.2">
      <c r="C244" s="25"/>
      <c r="D244" s="2"/>
      <c r="E244" s="5"/>
      <c r="F244" s="5"/>
      <c r="G244" s="6" t="str">
        <f t="shared" si="15"/>
        <v/>
      </c>
    </row>
    <row r="245" spans="2:7" x14ac:dyDescent="0.2">
      <c r="C245" s="25"/>
      <c r="D245" s="2"/>
      <c r="E245" s="5"/>
      <c r="F245" s="5"/>
      <c r="G245" s="6" t="str">
        <f t="shared" si="15"/>
        <v/>
      </c>
    </row>
    <row r="246" spans="2:7" x14ac:dyDescent="0.2">
      <c r="B246" s="13">
        <f>G246</f>
        <v>0</v>
      </c>
      <c r="C246" s="29"/>
      <c r="D246" s="7"/>
      <c r="E246" s="7"/>
      <c r="F246" s="8" t="s">
        <v>5</v>
      </c>
      <c r="G246" s="9">
        <f>SUM(G235:G245)</f>
        <v>0</v>
      </c>
    </row>
    <row r="247" spans="2:7" x14ac:dyDescent="0.2">
      <c r="C247" s="36">
        <f>C233+1</f>
        <v>44060</v>
      </c>
      <c r="D247" s="37"/>
      <c r="E247" s="37"/>
      <c r="F247" s="37"/>
      <c r="G247" s="38"/>
    </row>
    <row r="248" spans="2:7" x14ac:dyDescent="0.2">
      <c r="C248" s="25" t="s">
        <v>0</v>
      </c>
      <c r="D248" s="2" t="s">
        <v>1</v>
      </c>
      <c r="E248" s="3" t="s">
        <v>2</v>
      </c>
      <c r="F248" s="3" t="s">
        <v>3</v>
      </c>
      <c r="G248" s="4" t="s">
        <v>4</v>
      </c>
    </row>
    <row r="249" spans="2:7" x14ac:dyDescent="0.2">
      <c r="C249" s="25"/>
      <c r="D249" s="2"/>
      <c r="E249" s="5"/>
      <c r="F249" s="5"/>
      <c r="G249" s="6" t="str">
        <f t="shared" ref="G249:G258" si="16">IF(ISBLANK(E249),"",(E249-F249-(E249*0.014+0.25)))</f>
        <v/>
      </c>
    </row>
    <row r="250" spans="2:7" x14ac:dyDescent="0.2">
      <c r="C250" s="25"/>
      <c r="D250" s="2"/>
      <c r="E250" s="5"/>
      <c r="F250" s="5"/>
      <c r="G250" s="6" t="str">
        <f t="shared" si="16"/>
        <v/>
      </c>
    </row>
    <row r="251" spans="2:7" x14ac:dyDescent="0.2">
      <c r="C251" s="25"/>
      <c r="D251" s="2"/>
      <c r="E251" s="5"/>
      <c r="F251" s="5"/>
      <c r="G251" s="6" t="str">
        <f t="shared" si="16"/>
        <v/>
      </c>
    </row>
    <row r="252" spans="2:7" x14ac:dyDescent="0.2">
      <c r="C252" s="25"/>
      <c r="D252" s="2"/>
      <c r="E252" s="5"/>
      <c r="F252" s="5"/>
      <c r="G252" s="6" t="str">
        <f t="shared" si="16"/>
        <v/>
      </c>
    </row>
    <row r="253" spans="2:7" x14ac:dyDescent="0.2">
      <c r="C253" s="25"/>
      <c r="D253" s="2"/>
      <c r="E253" s="5"/>
      <c r="F253" s="5"/>
      <c r="G253" s="6" t="str">
        <f t="shared" si="16"/>
        <v/>
      </c>
    </row>
    <row r="254" spans="2:7" x14ac:dyDescent="0.2">
      <c r="C254" s="25"/>
      <c r="D254" s="2"/>
      <c r="E254" s="5"/>
      <c r="F254" s="5"/>
      <c r="G254" s="6" t="str">
        <f t="shared" si="16"/>
        <v/>
      </c>
    </row>
    <row r="255" spans="2:7" x14ac:dyDescent="0.2">
      <c r="C255" s="25"/>
      <c r="D255" s="2"/>
      <c r="E255" s="5"/>
      <c r="F255" s="5"/>
      <c r="G255" s="6" t="str">
        <f t="shared" si="16"/>
        <v/>
      </c>
    </row>
    <row r="256" spans="2:7" x14ac:dyDescent="0.2">
      <c r="C256" s="25"/>
      <c r="D256" s="2"/>
      <c r="E256" s="5"/>
      <c r="F256" s="5"/>
      <c r="G256" s="6" t="str">
        <f t="shared" si="16"/>
        <v/>
      </c>
    </row>
    <row r="257" spans="2:7" x14ac:dyDescent="0.2">
      <c r="C257" s="25"/>
      <c r="D257" s="2"/>
      <c r="E257" s="5"/>
      <c r="F257" s="5"/>
      <c r="G257" s="6" t="str">
        <f t="shared" si="16"/>
        <v/>
      </c>
    </row>
    <row r="258" spans="2:7" x14ac:dyDescent="0.2">
      <c r="C258" s="25"/>
      <c r="D258" s="2"/>
      <c r="E258" s="5"/>
      <c r="F258" s="5"/>
      <c r="G258" s="6" t="str">
        <f t="shared" si="16"/>
        <v/>
      </c>
    </row>
    <row r="259" spans="2:7" x14ac:dyDescent="0.2">
      <c r="B259" s="13">
        <f>G259</f>
        <v>0</v>
      </c>
      <c r="C259" s="29"/>
      <c r="D259" s="7"/>
      <c r="E259" s="7"/>
      <c r="F259" s="8" t="s">
        <v>5</v>
      </c>
      <c r="G259" s="9">
        <f>SUM(G249:G258)</f>
        <v>0</v>
      </c>
    </row>
    <row r="260" spans="2:7" x14ac:dyDescent="0.2">
      <c r="C260" s="36">
        <f>C247+1</f>
        <v>44061</v>
      </c>
      <c r="D260" s="37"/>
      <c r="E260" s="37"/>
      <c r="F260" s="37"/>
      <c r="G260" s="38"/>
    </row>
    <row r="261" spans="2:7" x14ac:dyDescent="0.2">
      <c r="C261" s="25" t="s">
        <v>0</v>
      </c>
      <c r="D261" s="2" t="s">
        <v>1</v>
      </c>
      <c r="E261" s="3" t="s">
        <v>2</v>
      </c>
      <c r="F261" s="3" t="s">
        <v>3</v>
      </c>
      <c r="G261" s="4" t="s">
        <v>4</v>
      </c>
    </row>
    <row r="262" spans="2:7" x14ac:dyDescent="0.2">
      <c r="C262" s="25"/>
      <c r="D262" s="17"/>
      <c r="E262" s="5"/>
      <c r="F262" s="5"/>
      <c r="G262" s="6" t="str">
        <f t="shared" ref="G262:G271" si="17">IF(ISBLANK(E262),"",(E262-F262-(E262*0.014+0.25)))</f>
        <v/>
      </c>
    </row>
    <row r="263" spans="2:7" x14ac:dyDescent="0.2">
      <c r="C263" s="25"/>
      <c r="D263" s="2"/>
      <c r="E263" s="5"/>
      <c r="F263" s="5"/>
      <c r="G263" s="6" t="str">
        <f t="shared" si="17"/>
        <v/>
      </c>
    </row>
    <row r="264" spans="2:7" x14ac:dyDescent="0.2">
      <c r="C264" s="25"/>
      <c r="D264" s="2"/>
      <c r="E264" s="5"/>
      <c r="F264" s="5"/>
      <c r="G264" s="6" t="str">
        <f t="shared" si="17"/>
        <v/>
      </c>
    </row>
    <row r="265" spans="2:7" x14ac:dyDescent="0.2">
      <c r="C265" s="25"/>
      <c r="D265" s="2"/>
      <c r="E265" s="5"/>
      <c r="F265" s="5"/>
      <c r="G265" s="6" t="str">
        <f t="shared" si="17"/>
        <v/>
      </c>
    </row>
    <row r="266" spans="2:7" x14ac:dyDescent="0.2">
      <c r="C266" s="25"/>
      <c r="D266" s="2"/>
      <c r="E266" s="5"/>
      <c r="F266" s="5"/>
      <c r="G266" s="6" t="str">
        <f t="shared" si="17"/>
        <v/>
      </c>
    </row>
    <row r="267" spans="2:7" x14ac:dyDescent="0.2">
      <c r="C267" s="25"/>
      <c r="D267" s="2"/>
      <c r="E267" s="5"/>
      <c r="F267" s="5"/>
      <c r="G267" s="6" t="str">
        <f t="shared" si="17"/>
        <v/>
      </c>
    </row>
    <row r="268" spans="2:7" x14ac:dyDescent="0.2">
      <c r="C268" s="25"/>
      <c r="D268" s="2"/>
      <c r="E268" s="5"/>
      <c r="F268" s="5"/>
      <c r="G268" s="6" t="str">
        <f t="shared" si="17"/>
        <v/>
      </c>
    </row>
    <row r="269" spans="2:7" x14ac:dyDescent="0.2">
      <c r="C269" s="25"/>
      <c r="D269" s="2"/>
      <c r="E269" s="5"/>
      <c r="F269" s="5"/>
      <c r="G269" s="6" t="str">
        <f t="shared" si="17"/>
        <v/>
      </c>
    </row>
    <row r="270" spans="2:7" x14ac:dyDescent="0.2">
      <c r="C270" s="25"/>
      <c r="D270" s="2"/>
      <c r="E270" s="5"/>
      <c r="F270" s="5"/>
      <c r="G270" s="6" t="str">
        <f t="shared" si="17"/>
        <v/>
      </c>
    </row>
    <row r="271" spans="2:7" x14ac:dyDescent="0.2">
      <c r="C271" s="25"/>
      <c r="D271" s="2"/>
      <c r="E271" s="5"/>
      <c r="F271" s="5"/>
      <c r="G271" s="6" t="str">
        <f t="shared" si="17"/>
        <v/>
      </c>
    </row>
    <row r="272" spans="2:7" x14ac:dyDescent="0.2">
      <c r="B272" s="13">
        <f>G272</f>
        <v>0</v>
      </c>
      <c r="C272" s="29"/>
      <c r="D272" s="7"/>
      <c r="E272" s="7"/>
      <c r="F272" s="8" t="s">
        <v>5</v>
      </c>
      <c r="G272" s="9">
        <f>SUM(G262:G271)</f>
        <v>0</v>
      </c>
    </row>
    <row r="273" spans="3:7" x14ac:dyDescent="0.2">
      <c r="C273" s="36">
        <f>C260+1</f>
        <v>44062</v>
      </c>
      <c r="D273" s="37"/>
      <c r="E273" s="37"/>
      <c r="F273" s="37"/>
      <c r="G273" s="38"/>
    </row>
    <row r="274" spans="3:7" x14ac:dyDescent="0.2">
      <c r="C274" s="25" t="s">
        <v>0</v>
      </c>
      <c r="D274" s="2" t="s">
        <v>1</v>
      </c>
      <c r="E274" s="3" t="s">
        <v>2</v>
      </c>
      <c r="F274" s="3" t="s">
        <v>3</v>
      </c>
      <c r="G274" s="4" t="s">
        <v>4</v>
      </c>
    </row>
    <row r="275" spans="3:7" x14ac:dyDescent="0.2">
      <c r="C275" s="25"/>
      <c r="D275" s="2"/>
      <c r="E275" s="5"/>
      <c r="F275" s="5"/>
      <c r="G275" s="6" t="str">
        <f t="shared" ref="G275:G288" si="18">IF(ISBLANK(E275),"",(E275-F275-(E275*0.014+0.25)))</f>
        <v/>
      </c>
    </row>
    <row r="276" spans="3:7" x14ac:dyDescent="0.2">
      <c r="C276" s="25"/>
      <c r="D276" s="2"/>
      <c r="E276" s="5"/>
      <c r="F276" s="5"/>
      <c r="G276" s="6" t="str">
        <f t="shared" si="18"/>
        <v/>
      </c>
    </row>
    <row r="277" spans="3:7" x14ac:dyDescent="0.2">
      <c r="C277" s="25"/>
      <c r="D277" s="2"/>
      <c r="E277" s="5"/>
      <c r="F277" s="5"/>
      <c r="G277" s="6" t="str">
        <f t="shared" si="18"/>
        <v/>
      </c>
    </row>
    <row r="278" spans="3:7" x14ac:dyDescent="0.2">
      <c r="C278" s="25"/>
      <c r="D278" s="2"/>
      <c r="E278" s="5"/>
      <c r="F278" s="5"/>
      <c r="G278" s="6" t="str">
        <f t="shared" si="18"/>
        <v/>
      </c>
    </row>
    <row r="279" spans="3:7" x14ac:dyDescent="0.2">
      <c r="C279" s="25"/>
      <c r="D279" s="2"/>
      <c r="E279" s="5"/>
      <c r="F279" s="5"/>
      <c r="G279" s="6" t="str">
        <f t="shared" si="18"/>
        <v/>
      </c>
    </row>
    <row r="280" spans="3:7" x14ac:dyDescent="0.2">
      <c r="C280" s="25"/>
      <c r="D280" s="2"/>
      <c r="E280" s="5"/>
      <c r="F280" s="5"/>
      <c r="G280" s="6" t="str">
        <f t="shared" si="18"/>
        <v/>
      </c>
    </row>
    <row r="281" spans="3:7" x14ac:dyDescent="0.2">
      <c r="C281" s="25"/>
      <c r="D281" s="2"/>
      <c r="E281" s="5"/>
      <c r="F281" s="5"/>
      <c r="G281" s="6" t="str">
        <f t="shared" si="18"/>
        <v/>
      </c>
    </row>
    <row r="282" spans="3:7" x14ac:dyDescent="0.2">
      <c r="C282" s="25"/>
      <c r="D282" s="2"/>
      <c r="E282" s="5"/>
      <c r="F282" s="5"/>
      <c r="G282" s="6" t="str">
        <f t="shared" si="18"/>
        <v/>
      </c>
    </row>
    <row r="283" spans="3:7" x14ac:dyDescent="0.2">
      <c r="C283" s="25"/>
      <c r="D283" s="2"/>
      <c r="E283" s="5"/>
      <c r="F283" s="5"/>
      <c r="G283" s="6" t="str">
        <f t="shared" si="18"/>
        <v/>
      </c>
    </row>
    <row r="284" spans="3:7" x14ac:dyDescent="0.2">
      <c r="C284" s="25"/>
      <c r="D284" s="2"/>
      <c r="E284" s="5"/>
      <c r="F284" s="5"/>
      <c r="G284" s="6" t="str">
        <f t="shared" si="18"/>
        <v/>
      </c>
    </row>
    <row r="285" spans="3:7" x14ac:dyDescent="0.2">
      <c r="C285" s="25"/>
      <c r="D285" s="2"/>
      <c r="E285" s="5"/>
      <c r="F285" s="5"/>
      <c r="G285" s="6" t="str">
        <f t="shared" si="18"/>
        <v/>
      </c>
    </row>
    <row r="286" spans="3:7" x14ac:dyDescent="0.2">
      <c r="C286" s="25"/>
      <c r="D286" s="2"/>
      <c r="E286" s="5"/>
      <c r="F286" s="5"/>
      <c r="G286" s="6" t="str">
        <f t="shared" si="18"/>
        <v/>
      </c>
    </row>
    <row r="287" spans="3:7" x14ac:dyDescent="0.2">
      <c r="C287" s="25"/>
      <c r="D287" s="2"/>
      <c r="E287" s="5"/>
      <c r="F287" s="5"/>
      <c r="G287" s="6" t="str">
        <f t="shared" si="18"/>
        <v/>
      </c>
    </row>
    <row r="288" spans="3:7" x14ac:dyDescent="0.2">
      <c r="C288" s="25"/>
      <c r="D288" s="2"/>
      <c r="E288" s="5"/>
      <c r="F288" s="5"/>
      <c r="G288" s="6" t="str">
        <f t="shared" si="18"/>
        <v/>
      </c>
    </row>
    <row r="289" spans="2:7" x14ac:dyDescent="0.2">
      <c r="B289" s="13">
        <f>G289</f>
        <v>0</v>
      </c>
      <c r="C289" s="29"/>
      <c r="D289" s="7"/>
      <c r="E289" s="7"/>
      <c r="F289" s="8" t="s">
        <v>5</v>
      </c>
      <c r="G289" s="9">
        <f>SUM(G275:G288)</f>
        <v>0</v>
      </c>
    </row>
    <row r="290" spans="2:7" x14ac:dyDescent="0.2">
      <c r="C290" s="36">
        <f>C273+1</f>
        <v>44063</v>
      </c>
      <c r="D290" s="37"/>
      <c r="E290" s="37"/>
      <c r="F290" s="37"/>
      <c r="G290" s="38"/>
    </row>
    <row r="291" spans="2:7" x14ac:dyDescent="0.2">
      <c r="C291" s="25" t="s">
        <v>0</v>
      </c>
      <c r="D291" s="2" t="s">
        <v>1</v>
      </c>
      <c r="E291" s="3" t="s">
        <v>2</v>
      </c>
      <c r="F291" s="3" t="s">
        <v>3</v>
      </c>
      <c r="G291" s="4" t="s">
        <v>4</v>
      </c>
    </row>
    <row r="292" spans="2:7" x14ac:dyDescent="0.2">
      <c r="C292" s="25"/>
      <c r="D292" s="2"/>
      <c r="E292" s="5"/>
      <c r="F292" s="5"/>
      <c r="G292" s="6" t="str">
        <f t="shared" ref="G292:G305" si="19">IF(ISBLANK(E292),"",(E292-F292-(E292*0.014+0.25)))</f>
        <v/>
      </c>
    </row>
    <row r="293" spans="2:7" x14ac:dyDescent="0.2">
      <c r="C293" s="25"/>
      <c r="D293" s="2"/>
      <c r="E293" s="5"/>
      <c r="F293" s="5"/>
      <c r="G293" s="6" t="str">
        <f t="shared" si="19"/>
        <v/>
      </c>
    </row>
    <row r="294" spans="2:7" x14ac:dyDescent="0.2">
      <c r="C294" s="25"/>
      <c r="D294" s="2"/>
      <c r="E294" s="5"/>
      <c r="F294" s="5"/>
      <c r="G294" s="6" t="str">
        <f t="shared" si="19"/>
        <v/>
      </c>
    </row>
    <row r="295" spans="2:7" x14ac:dyDescent="0.2">
      <c r="C295" s="25"/>
      <c r="D295" s="2"/>
      <c r="E295" s="5"/>
      <c r="F295" s="5"/>
      <c r="G295" s="6" t="str">
        <f t="shared" si="19"/>
        <v/>
      </c>
    </row>
    <row r="296" spans="2:7" x14ac:dyDescent="0.2">
      <c r="C296" s="25"/>
      <c r="D296" s="2"/>
      <c r="E296" s="5"/>
      <c r="F296" s="5"/>
      <c r="G296" s="6" t="str">
        <f t="shared" si="19"/>
        <v/>
      </c>
    </row>
    <row r="297" spans="2:7" x14ac:dyDescent="0.2">
      <c r="C297" s="25"/>
      <c r="D297" s="2"/>
      <c r="E297" s="5"/>
      <c r="F297" s="5"/>
      <c r="G297" s="6" t="str">
        <f t="shared" si="19"/>
        <v/>
      </c>
    </row>
    <row r="298" spans="2:7" x14ac:dyDescent="0.2">
      <c r="C298" s="25"/>
      <c r="D298" s="2"/>
      <c r="E298" s="5"/>
      <c r="F298" s="5"/>
      <c r="G298" s="6" t="str">
        <f t="shared" si="19"/>
        <v/>
      </c>
    </row>
    <row r="299" spans="2:7" x14ac:dyDescent="0.2">
      <c r="C299" s="25"/>
      <c r="D299" s="2"/>
      <c r="E299" s="5"/>
      <c r="F299" s="5"/>
      <c r="G299" s="6" t="str">
        <f t="shared" si="19"/>
        <v/>
      </c>
    </row>
    <row r="300" spans="2:7" x14ac:dyDescent="0.2">
      <c r="C300" s="25"/>
      <c r="D300" s="2"/>
      <c r="E300" s="5"/>
      <c r="F300" s="5"/>
      <c r="G300" s="6" t="str">
        <f t="shared" si="19"/>
        <v/>
      </c>
    </row>
    <row r="301" spans="2:7" x14ac:dyDescent="0.2">
      <c r="C301" s="25"/>
      <c r="D301" s="2"/>
      <c r="E301" s="5"/>
      <c r="F301" s="5"/>
      <c r="G301" s="6" t="str">
        <f t="shared" si="19"/>
        <v/>
      </c>
    </row>
    <row r="302" spans="2:7" x14ac:dyDescent="0.2">
      <c r="C302" s="25"/>
      <c r="D302" s="2"/>
      <c r="E302" s="5"/>
      <c r="F302" s="5"/>
      <c r="G302" s="6" t="str">
        <f t="shared" si="19"/>
        <v/>
      </c>
    </row>
    <row r="303" spans="2:7" x14ac:dyDescent="0.2">
      <c r="C303" s="25"/>
      <c r="D303" s="2"/>
      <c r="E303" s="5"/>
      <c r="F303" s="5"/>
      <c r="G303" s="6" t="str">
        <f t="shared" si="19"/>
        <v/>
      </c>
    </row>
    <row r="304" spans="2:7" x14ac:dyDescent="0.2">
      <c r="C304" s="25"/>
      <c r="D304" s="2"/>
      <c r="E304" s="5"/>
      <c r="F304" s="5"/>
      <c r="G304" s="6" t="str">
        <f t="shared" si="19"/>
        <v/>
      </c>
    </row>
    <row r="305" spans="2:7" x14ac:dyDescent="0.2">
      <c r="C305" s="25"/>
      <c r="D305" s="2"/>
      <c r="E305" s="5"/>
      <c r="F305" s="5"/>
      <c r="G305" s="6" t="str">
        <f t="shared" si="19"/>
        <v/>
      </c>
    </row>
    <row r="306" spans="2:7" x14ac:dyDescent="0.2">
      <c r="B306" s="13">
        <f>G306</f>
        <v>0</v>
      </c>
      <c r="C306" s="29"/>
      <c r="D306" s="7"/>
      <c r="E306" s="7"/>
      <c r="F306" s="8" t="s">
        <v>5</v>
      </c>
      <c r="G306" s="9">
        <f>SUM(G292:G305)</f>
        <v>0</v>
      </c>
    </row>
    <row r="307" spans="2:7" x14ac:dyDescent="0.2">
      <c r="C307" s="36">
        <f>C290+1</f>
        <v>44064</v>
      </c>
      <c r="D307" s="37"/>
      <c r="E307" s="37"/>
      <c r="F307" s="37"/>
      <c r="G307" s="38"/>
    </row>
    <row r="308" spans="2:7" x14ac:dyDescent="0.2">
      <c r="C308" s="25" t="s">
        <v>0</v>
      </c>
      <c r="D308" s="2" t="s">
        <v>1</v>
      </c>
      <c r="E308" s="3" t="s">
        <v>2</v>
      </c>
      <c r="F308" s="3" t="s">
        <v>3</v>
      </c>
      <c r="G308" s="4" t="s">
        <v>4</v>
      </c>
    </row>
    <row r="309" spans="2:7" x14ac:dyDescent="0.2">
      <c r="C309" s="25"/>
      <c r="D309" s="2"/>
      <c r="E309" s="5"/>
      <c r="F309" s="5"/>
      <c r="G309" s="6" t="str">
        <f t="shared" ref="G309:G318" si="20">IF(ISBLANK(E309),"",(E309-F309-(E309*0.014+0.25)))</f>
        <v/>
      </c>
    </row>
    <row r="310" spans="2:7" x14ac:dyDescent="0.2">
      <c r="C310" s="25"/>
      <c r="D310" s="2"/>
      <c r="E310" s="5"/>
      <c r="F310" s="5"/>
      <c r="G310" s="6" t="str">
        <f t="shared" si="20"/>
        <v/>
      </c>
    </row>
    <row r="311" spans="2:7" x14ac:dyDescent="0.2">
      <c r="C311" s="25"/>
      <c r="D311" s="2"/>
      <c r="E311" s="5"/>
      <c r="F311" s="5"/>
      <c r="G311" s="6" t="str">
        <f t="shared" si="20"/>
        <v/>
      </c>
    </row>
    <row r="312" spans="2:7" x14ac:dyDescent="0.2">
      <c r="C312" s="25"/>
      <c r="D312" s="2"/>
      <c r="E312" s="5"/>
      <c r="F312" s="5"/>
      <c r="G312" s="6" t="str">
        <f t="shared" si="20"/>
        <v/>
      </c>
    </row>
    <row r="313" spans="2:7" x14ac:dyDescent="0.2">
      <c r="C313" s="25"/>
      <c r="D313" s="2"/>
      <c r="E313" s="5"/>
      <c r="F313" s="5"/>
      <c r="G313" s="6" t="str">
        <f t="shared" si="20"/>
        <v/>
      </c>
    </row>
    <row r="314" spans="2:7" x14ac:dyDescent="0.2">
      <c r="C314" s="25"/>
      <c r="D314" s="2"/>
      <c r="E314" s="5"/>
      <c r="F314" s="5"/>
      <c r="G314" s="6" t="str">
        <f t="shared" si="20"/>
        <v/>
      </c>
    </row>
    <row r="315" spans="2:7" x14ac:dyDescent="0.2">
      <c r="C315" s="25"/>
      <c r="D315" s="2"/>
      <c r="E315" s="5"/>
      <c r="F315" s="5"/>
      <c r="G315" s="6" t="str">
        <f t="shared" si="20"/>
        <v/>
      </c>
    </row>
    <row r="316" spans="2:7" x14ac:dyDescent="0.2">
      <c r="C316" s="25"/>
      <c r="D316" s="2"/>
      <c r="E316" s="5"/>
      <c r="F316" s="5"/>
      <c r="G316" s="6" t="str">
        <f t="shared" si="20"/>
        <v/>
      </c>
    </row>
    <row r="317" spans="2:7" x14ac:dyDescent="0.2">
      <c r="C317" s="25"/>
      <c r="D317" s="2"/>
      <c r="E317" s="5"/>
      <c r="F317" s="5"/>
      <c r="G317" s="6" t="str">
        <f t="shared" si="20"/>
        <v/>
      </c>
    </row>
    <row r="318" spans="2:7" x14ac:dyDescent="0.2">
      <c r="C318" s="25"/>
      <c r="D318" s="2"/>
      <c r="E318" s="5"/>
      <c r="F318" s="5"/>
      <c r="G318" s="6" t="str">
        <f t="shared" si="20"/>
        <v/>
      </c>
    </row>
    <row r="319" spans="2:7" x14ac:dyDescent="0.2">
      <c r="B319" s="13">
        <f>G319</f>
        <v>0</v>
      </c>
      <c r="C319" s="29"/>
      <c r="D319" s="7"/>
      <c r="E319" s="7"/>
      <c r="F319" s="8" t="s">
        <v>5</v>
      </c>
      <c r="G319" s="9">
        <f>SUM(G309:G318)</f>
        <v>0</v>
      </c>
    </row>
    <row r="320" spans="2:7" x14ac:dyDescent="0.2">
      <c r="C320" s="36">
        <f>C307+1</f>
        <v>44065</v>
      </c>
      <c r="D320" s="37"/>
      <c r="E320" s="37"/>
      <c r="F320" s="37"/>
      <c r="G320" s="38"/>
    </row>
    <row r="321" spans="2:7" x14ac:dyDescent="0.2">
      <c r="C321" s="25" t="s">
        <v>0</v>
      </c>
      <c r="D321" s="2" t="s">
        <v>1</v>
      </c>
      <c r="E321" s="3" t="s">
        <v>2</v>
      </c>
      <c r="F321" s="3" t="s">
        <v>3</v>
      </c>
      <c r="G321" s="4" t="s">
        <v>4</v>
      </c>
    </row>
    <row r="322" spans="2:7" x14ac:dyDescent="0.2">
      <c r="C322" s="25"/>
      <c r="D322" s="2"/>
      <c r="E322" s="5"/>
      <c r="F322" s="5"/>
      <c r="G322" s="6" t="str">
        <f t="shared" ref="G322:G332" si="21">IF(ISBLANK(E322),"",(E322-F322-(E322*0.014+0.25)))</f>
        <v/>
      </c>
    </row>
    <row r="323" spans="2:7" x14ac:dyDescent="0.2">
      <c r="C323" s="25"/>
      <c r="D323" s="2"/>
      <c r="E323" s="5"/>
      <c r="F323" s="5"/>
      <c r="G323" s="6" t="str">
        <f t="shared" si="21"/>
        <v/>
      </c>
    </row>
    <row r="324" spans="2:7" x14ac:dyDescent="0.2">
      <c r="C324" s="25"/>
      <c r="D324" s="2"/>
      <c r="E324" s="5"/>
      <c r="F324" s="5"/>
      <c r="G324" s="6" t="str">
        <f t="shared" si="21"/>
        <v/>
      </c>
    </row>
    <row r="325" spans="2:7" x14ac:dyDescent="0.2">
      <c r="C325" s="25"/>
      <c r="D325" s="2"/>
      <c r="E325" s="5"/>
      <c r="F325" s="5"/>
      <c r="G325" s="6" t="str">
        <f t="shared" si="21"/>
        <v/>
      </c>
    </row>
    <row r="326" spans="2:7" x14ac:dyDescent="0.2">
      <c r="C326" s="25"/>
      <c r="D326" s="2"/>
      <c r="E326" s="5"/>
      <c r="F326" s="5"/>
      <c r="G326" s="6" t="str">
        <f t="shared" si="21"/>
        <v/>
      </c>
    </row>
    <row r="327" spans="2:7" x14ac:dyDescent="0.2">
      <c r="C327" s="25"/>
      <c r="D327" s="2"/>
      <c r="E327" s="5"/>
      <c r="F327" s="5"/>
      <c r="G327" s="6" t="str">
        <f t="shared" si="21"/>
        <v/>
      </c>
    </row>
    <row r="328" spans="2:7" x14ac:dyDescent="0.2">
      <c r="C328" s="25"/>
      <c r="D328" s="2"/>
      <c r="E328" s="5"/>
      <c r="F328" s="5"/>
      <c r="G328" s="6" t="str">
        <f t="shared" si="21"/>
        <v/>
      </c>
    </row>
    <row r="329" spans="2:7" x14ac:dyDescent="0.2">
      <c r="C329" s="25"/>
      <c r="D329" s="2"/>
      <c r="E329" s="5"/>
      <c r="F329" s="5"/>
      <c r="G329" s="6" t="str">
        <f t="shared" si="21"/>
        <v/>
      </c>
    </row>
    <row r="330" spans="2:7" x14ac:dyDescent="0.2">
      <c r="C330" s="25"/>
      <c r="D330" s="2"/>
      <c r="E330" s="5"/>
      <c r="F330" s="5"/>
      <c r="G330" s="6" t="str">
        <f t="shared" si="21"/>
        <v/>
      </c>
    </row>
    <row r="331" spans="2:7" x14ac:dyDescent="0.2">
      <c r="C331" s="25"/>
      <c r="D331" s="2"/>
      <c r="E331" s="5"/>
      <c r="F331" s="5"/>
      <c r="G331" s="6" t="str">
        <f t="shared" si="21"/>
        <v/>
      </c>
    </row>
    <row r="332" spans="2:7" x14ac:dyDescent="0.2">
      <c r="C332" s="25"/>
      <c r="D332" s="2"/>
      <c r="E332" s="5"/>
      <c r="F332" s="5"/>
      <c r="G332" s="6" t="str">
        <f t="shared" si="21"/>
        <v/>
      </c>
    </row>
    <row r="333" spans="2:7" x14ac:dyDescent="0.2">
      <c r="B333" s="13">
        <f>G333</f>
        <v>0</v>
      </c>
      <c r="C333" s="29"/>
      <c r="D333" s="7"/>
      <c r="E333" s="7"/>
      <c r="F333" s="8" t="s">
        <v>5</v>
      </c>
      <c r="G333" s="9">
        <f>SUM(G322:G332)</f>
        <v>0</v>
      </c>
    </row>
    <row r="334" spans="2:7" x14ac:dyDescent="0.2">
      <c r="C334" s="36">
        <f>C320+1</f>
        <v>44066</v>
      </c>
      <c r="D334" s="37"/>
      <c r="E334" s="37"/>
      <c r="F334" s="37"/>
      <c r="G334" s="38"/>
    </row>
    <row r="335" spans="2:7" x14ac:dyDescent="0.2">
      <c r="C335" s="25" t="s">
        <v>0</v>
      </c>
      <c r="D335" s="2" t="s">
        <v>1</v>
      </c>
      <c r="E335" s="3" t="s">
        <v>2</v>
      </c>
      <c r="F335" s="3" t="s">
        <v>3</v>
      </c>
      <c r="G335" s="4" t="s">
        <v>4</v>
      </c>
    </row>
    <row r="336" spans="2:7" x14ac:dyDescent="0.2">
      <c r="C336" s="25"/>
      <c r="D336" s="2"/>
      <c r="E336" s="5"/>
      <c r="F336" s="5"/>
      <c r="G336" s="6" t="str">
        <f t="shared" ref="G336:G346" si="22">IF(ISBLANK(E336),"",(E336-F336-(E336*0.014+0.25)))</f>
        <v/>
      </c>
    </row>
    <row r="337" spans="2:7" x14ac:dyDescent="0.2">
      <c r="C337" s="25"/>
      <c r="D337" s="2"/>
      <c r="E337" s="5"/>
      <c r="F337" s="5"/>
      <c r="G337" s="6" t="str">
        <f t="shared" si="22"/>
        <v/>
      </c>
    </row>
    <row r="338" spans="2:7" x14ac:dyDescent="0.2">
      <c r="C338" s="25"/>
      <c r="D338" s="2"/>
      <c r="E338" s="5"/>
      <c r="F338" s="5"/>
      <c r="G338" s="6" t="str">
        <f t="shared" si="22"/>
        <v/>
      </c>
    </row>
    <row r="339" spans="2:7" x14ac:dyDescent="0.2">
      <c r="C339" s="25"/>
      <c r="D339" s="2"/>
      <c r="E339" s="5"/>
      <c r="F339" s="5"/>
      <c r="G339" s="6" t="str">
        <f t="shared" si="22"/>
        <v/>
      </c>
    </row>
    <row r="340" spans="2:7" x14ac:dyDescent="0.2">
      <c r="C340" s="25"/>
      <c r="D340" s="2"/>
      <c r="E340" s="5"/>
      <c r="F340" s="5"/>
      <c r="G340" s="6" t="str">
        <f t="shared" si="22"/>
        <v/>
      </c>
    </row>
    <row r="341" spans="2:7" x14ac:dyDescent="0.2">
      <c r="C341" s="25"/>
      <c r="D341" s="2"/>
      <c r="E341" s="5"/>
      <c r="F341" s="5"/>
      <c r="G341" s="6" t="str">
        <f t="shared" si="22"/>
        <v/>
      </c>
    </row>
    <row r="342" spans="2:7" x14ac:dyDescent="0.2">
      <c r="C342" s="25"/>
      <c r="D342" s="2"/>
      <c r="E342" s="5"/>
      <c r="F342" s="5"/>
      <c r="G342" s="6" t="str">
        <f t="shared" si="22"/>
        <v/>
      </c>
    </row>
    <row r="343" spans="2:7" x14ac:dyDescent="0.2">
      <c r="C343" s="25"/>
      <c r="D343" s="2"/>
      <c r="E343" s="5"/>
      <c r="F343" s="5"/>
      <c r="G343" s="6" t="str">
        <f t="shared" si="22"/>
        <v/>
      </c>
    </row>
    <row r="344" spans="2:7" x14ac:dyDescent="0.2">
      <c r="C344" s="25"/>
      <c r="D344" s="2"/>
      <c r="E344" s="5"/>
      <c r="F344" s="5"/>
      <c r="G344" s="6" t="str">
        <f t="shared" si="22"/>
        <v/>
      </c>
    </row>
    <row r="345" spans="2:7" x14ac:dyDescent="0.2">
      <c r="C345" s="25"/>
      <c r="D345" s="2"/>
      <c r="E345" s="5"/>
      <c r="F345" s="5"/>
      <c r="G345" s="6" t="str">
        <f t="shared" si="22"/>
        <v/>
      </c>
    </row>
    <row r="346" spans="2:7" x14ac:dyDescent="0.2">
      <c r="C346" s="25"/>
      <c r="D346" s="2"/>
      <c r="E346" s="5"/>
      <c r="F346" s="5"/>
      <c r="G346" s="6" t="str">
        <f t="shared" si="22"/>
        <v/>
      </c>
    </row>
    <row r="347" spans="2:7" x14ac:dyDescent="0.2">
      <c r="B347" s="13">
        <f>G347</f>
        <v>0</v>
      </c>
      <c r="C347" s="29"/>
      <c r="D347" s="7"/>
      <c r="E347" s="7"/>
      <c r="F347" s="8" t="s">
        <v>5</v>
      </c>
      <c r="G347" s="9">
        <f>SUM(G336:G346)</f>
        <v>0</v>
      </c>
    </row>
    <row r="348" spans="2:7" x14ac:dyDescent="0.2">
      <c r="C348" s="36">
        <f>C334+1</f>
        <v>44067</v>
      </c>
      <c r="D348" s="37"/>
      <c r="E348" s="37"/>
      <c r="F348" s="37"/>
      <c r="G348" s="38"/>
    </row>
    <row r="349" spans="2:7" x14ac:dyDescent="0.2">
      <c r="C349" s="25" t="s">
        <v>0</v>
      </c>
      <c r="D349" s="2" t="s">
        <v>1</v>
      </c>
      <c r="E349" s="3" t="s">
        <v>2</v>
      </c>
      <c r="F349" s="3" t="s">
        <v>3</v>
      </c>
      <c r="G349" s="4" t="s">
        <v>4</v>
      </c>
    </row>
    <row r="350" spans="2:7" x14ac:dyDescent="0.2">
      <c r="C350" s="25"/>
      <c r="D350" s="2"/>
      <c r="E350" s="5"/>
      <c r="F350" s="5"/>
      <c r="G350" s="6"/>
    </row>
    <row r="351" spans="2:7" x14ac:dyDescent="0.2">
      <c r="C351" s="25"/>
      <c r="D351" s="2"/>
      <c r="E351" s="5"/>
      <c r="F351" s="5"/>
      <c r="G351" s="6"/>
    </row>
    <row r="352" spans="2:7" x14ac:dyDescent="0.2">
      <c r="C352" s="25"/>
      <c r="D352" s="2"/>
      <c r="E352" s="5"/>
      <c r="F352" s="5"/>
      <c r="G352" s="6"/>
    </row>
    <row r="353" spans="2:7" x14ac:dyDescent="0.2">
      <c r="C353" s="25"/>
      <c r="D353" s="2"/>
      <c r="E353" s="5"/>
      <c r="F353" s="5"/>
      <c r="G353" s="6" t="str">
        <f t="shared" ref="G353:G363" si="23">IF(ISBLANK(E353),"",(E353-F353-(E353*0.014+0.25)))</f>
        <v/>
      </c>
    </row>
    <row r="354" spans="2:7" x14ac:dyDescent="0.2">
      <c r="C354" s="25"/>
      <c r="D354" s="2"/>
      <c r="E354" s="5"/>
      <c r="F354" s="5"/>
      <c r="G354" s="6" t="str">
        <f t="shared" si="23"/>
        <v/>
      </c>
    </row>
    <row r="355" spans="2:7" x14ac:dyDescent="0.2">
      <c r="C355" s="25"/>
      <c r="D355" s="2"/>
      <c r="E355" s="5"/>
      <c r="F355" s="5"/>
      <c r="G355" s="6" t="str">
        <f t="shared" si="23"/>
        <v/>
      </c>
    </row>
    <row r="356" spans="2:7" x14ac:dyDescent="0.2">
      <c r="C356" s="25"/>
      <c r="D356" s="2"/>
      <c r="E356" s="5"/>
      <c r="F356" s="5"/>
      <c r="G356" s="6" t="str">
        <f t="shared" si="23"/>
        <v/>
      </c>
    </row>
    <row r="357" spans="2:7" x14ac:dyDescent="0.2">
      <c r="C357" s="25"/>
      <c r="D357" s="2"/>
      <c r="E357" s="5"/>
      <c r="F357" s="5"/>
      <c r="G357" s="6" t="str">
        <f t="shared" si="23"/>
        <v/>
      </c>
    </row>
    <row r="358" spans="2:7" x14ac:dyDescent="0.2">
      <c r="C358" s="25"/>
      <c r="D358" s="2"/>
      <c r="E358" s="5"/>
      <c r="F358" s="5"/>
      <c r="G358" s="6" t="str">
        <f t="shared" si="23"/>
        <v/>
      </c>
    </row>
    <row r="359" spans="2:7" x14ac:dyDescent="0.2">
      <c r="C359" s="25"/>
      <c r="D359" s="2"/>
      <c r="E359" s="5"/>
      <c r="F359" s="5"/>
      <c r="G359" s="6" t="str">
        <f t="shared" si="23"/>
        <v/>
      </c>
    </row>
    <row r="360" spans="2:7" x14ac:dyDescent="0.2">
      <c r="C360" s="25"/>
      <c r="D360" s="2"/>
      <c r="E360" s="5"/>
      <c r="F360" s="5"/>
      <c r="G360" s="6" t="str">
        <f t="shared" si="23"/>
        <v/>
      </c>
    </row>
    <row r="361" spans="2:7" x14ac:dyDescent="0.2">
      <c r="C361" s="25"/>
      <c r="D361" s="2"/>
      <c r="E361" s="5"/>
      <c r="F361" s="5"/>
      <c r="G361" s="6" t="str">
        <f t="shared" si="23"/>
        <v/>
      </c>
    </row>
    <row r="362" spans="2:7" x14ac:dyDescent="0.2">
      <c r="C362" s="25"/>
      <c r="D362" s="2"/>
      <c r="E362" s="5"/>
      <c r="F362" s="5"/>
      <c r="G362" s="6" t="str">
        <f t="shared" si="23"/>
        <v/>
      </c>
    </row>
    <row r="363" spans="2:7" x14ac:dyDescent="0.2">
      <c r="C363" s="25"/>
      <c r="D363" s="2"/>
      <c r="E363" s="5"/>
      <c r="F363" s="5"/>
      <c r="G363" s="6" t="str">
        <f t="shared" si="23"/>
        <v/>
      </c>
    </row>
    <row r="364" spans="2:7" x14ac:dyDescent="0.2">
      <c r="B364" s="13">
        <f>G364</f>
        <v>0</v>
      </c>
      <c r="C364" s="29"/>
      <c r="D364" s="7"/>
      <c r="E364" s="7"/>
      <c r="F364" s="8" t="s">
        <v>5</v>
      </c>
      <c r="G364" s="9">
        <f>SUM(G350:G363)</f>
        <v>0</v>
      </c>
    </row>
    <row r="365" spans="2:7" x14ac:dyDescent="0.2">
      <c r="C365" s="36">
        <f>C348+1</f>
        <v>44068</v>
      </c>
      <c r="D365" s="37"/>
      <c r="E365" s="37"/>
      <c r="F365" s="37"/>
      <c r="G365" s="38"/>
    </row>
    <row r="366" spans="2:7" x14ac:dyDescent="0.2">
      <c r="C366" s="25" t="s">
        <v>0</v>
      </c>
      <c r="D366" s="2" t="s">
        <v>1</v>
      </c>
      <c r="E366" s="3" t="s">
        <v>2</v>
      </c>
      <c r="F366" s="3" t="s">
        <v>3</v>
      </c>
      <c r="G366" s="4" t="s">
        <v>4</v>
      </c>
    </row>
    <row r="367" spans="2:7" x14ac:dyDescent="0.2">
      <c r="C367" s="25"/>
      <c r="D367" s="2"/>
      <c r="E367" s="5"/>
      <c r="F367" s="5"/>
      <c r="G367" s="6" t="str">
        <f t="shared" ref="G367:G377" si="24">IF(ISBLANK(E367),"",(E367-F367-(E367*0.014+0.25)))</f>
        <v/>
      </c>
    </row>
    <row r="368" spans="2:7" x14ac:dyDescent="0.2">
      <c r="C368" s="25"/>
      <c r="D368" s="2"/>
      <c r="E368" s="5"/>
      <c r="F368" s="5"/>
      <c r="G368" s="6" t="str">
        <f t="shared" si="24"/>
        <v/>
      </c>
    </row>
    <row r="369" spans="2:7" x14ac:dyDescent="0.2">
      <c r="C369" s="25"/>
      <c r="D369" s="2"/>
      <c r="E369" s="5"/>
      <c r="F369" s="5"/>
      <c r="G369" s="6" t="str">
        <f t="shared" si="24"/>
        <v/>
      </c>
    </row>
    <row r="370" spans="2:7" x14ac:dyDescent="0.2">
      <c r="C370" s="25"/>
      <c r="D370" s="2"/>
      <c r="E370" s="5"/>
      <c r="F370" s="5"/>
      <c r="G370" s="6" t="str">
        <f t="shared" si="24"/>
        <v/>
      </c>
    </row>
    <row r="371" spans="2:7" x14ac:dyDescent="0.2">
      <c r="C371" s="25"/>
      <c r="D371" s="2"/>
      <c r="E371" s="5"/>
      <c r="F371" s="5"/>
      <c r="G371" s="6" t="str">
        <f t="shared" si="24"/>
        <v/>
      </c>
    </row>
    <row r="372" spans="2:7" x14ac:dyDescent="0.2">
      <c r="C372" s="25"/>
      <c r="D372" s="2"/>
      <c r="E372" s="5"/>
      <c r="F372" s="5"/>
      <c r="G372" s="6" t="str">
        <f t="shared" si="24"/>
        <v/>
      </c>
    </row>
    <row r="373" spans="2:7" x14ac:dyDescent="0.2">
      <c r="C373" s="25"/>
      <c r="D373" s="2"/>
      <c r="E373" s="5"/>
      <c r="F373" s="5"/>
      <c r="G373" s="6" t="str">
        <f t="shared" si="24"/>
        <v/>
      </c>
    </row>
    <row r="374" spans="2:7" x14ac:dyDescent="0.2">
      <c r="C374" s="25"/>
      <c r="D374" s="2"/>
      <c r="E374" s="5"/>
      <c r="F374" s="5"/>
      <c r="G374" s="6" t="str">
        <f t="shared" si="24"/>
        <v/>
      </c>
    </row>
    <row r="375" spans="2:7" x14ac:dyDescent="0.2">
      <c r="C375" s="25"/>
      <c r="D375" s="2"/>
      <c r="E375" s="5"/>
      <c r="F375" s="5"/>
      <c r="G375" s="6" t="str">
        <f t="shared" si="24"/>
        <v/>
      </c>
    </row>
    <row r="376" spans="2:7" x14ac:dyDescent="0.2">
      <c r="C376" s="25"/>
      <c r="D376" s="2"/>
      <c r="E376" s="5"/>
      <c r="F376" s="5"/>
      <c r="G376" s="6" t="str">
        <f t="shared" si="24"/>
        <v/>
      </c>
    </row>
    <row r="377" spans="2:7" x14ac:dyDescent="0.2">
      <c r="C377" s="25"/>
      <c r="D377" s="2"/>
      <c r="E377" s="5"/>
      <c r="F377" s="5"/>
      <c r="G377" s="6" t="str">
        <f t="shared" si="24"/>
        <v/>
      </c>
    </row>
    <row r="378" spans="2:7" x14ac:dyDescent="0.2">
      <c r="B378" s="13">
        <f>G378</f>
        <v>0</v>
      </c>
      <c r="C378" s="29"/>
      <c r="D378" s="7"/>
      <c r="E378" s="7"/>
      <c r="F378" s="8" t="s">
        <v>5</v>
      </c>
      <c r="G378" s="9">
        <f>SUM(G367:G377)</f>
        <v>0</v>
      </c>
    </row>
    <row r="379" spans="2:7" x14ac:dyDescent="0.2">
      <c r="C379" s="36">
        <f>C365+1</f>
        <v>44069</v>
      </c>
      <c r="D379" s="37"/>
      <c r="E379" s="37"/>
      <c r="F379" s="37"/>
      <c r="G379" s="38"/>
    </row>
    <row r="380" spans="2:7" x14ac:dyDescent="0.2">
      <c r="C380" s="25" t="s">
        <v>0</v>
      </c>
      <c r="D380" s="2" t="s">
        <v>1</v>
      </c>
      <c r="E380" s="3" t="s">
        <v>2</v>
      </c>
      <c r="F380" s="3" t="s">
        <v>3</v>
      </c>
      <c r="G380" s="4" t="s">
        <v>4</v>
      </c>
    </row>
    <row r="381" spans="2:7" x14ac:dyDescent="0.2">
      <c r="C381" s="25"/>
      <c r="D381" s="2"/>
      <c r="E381" s="5"/>
      <c r="F381" s="5"/>
      <c r="G381" s="6" t="str">
        <f t="shared" ref="G381:G390" si="25">IF(ISBLANK(E381),"",(E381-F381-(E381*0.014+0.25)))</f>
        <v/>
      </c>
    </row>
    <row r="382" spans="2:7" x14ac:dyDescent="0.2">
      <c r="C382" s="25"/>
      <c r="D382" s="2"/>
      <c r="E382" s="5"/>
      <c r="F382" s="5"/>
      <c r="G382" s="6" t="str">
        <f t="shared" si="25"/>
        <v/>
      </c>
    </row>
    <row r="383" spans="2:7" x14ac:dyDescent="0.2">
      <c r="C383" s="25"/>
      <c r="D383" s="2"/>
      <c r="E383" s="5"/>
      <c r="F383" s="5"/>
      <c r="G383" s="6" t="str">
        <f t="shared" si="25"/>
        <v/>
      </c>
    </row>
    <row r="384" spans="2:7" x14ac:dyDescent="0.2">
      <c r="C384" s="25"/>
      <c r="D384" s="2"/>
      <c r="E384" s="5"/>
      <c r="F384" s="5"/>
      <c r="G384" s="6" t="str">
        <f t="shared" si="25"/>
        <v/>
      </c>
    </row>
    <row r="385" spans="2:7" x14ac:dyDescent="0.2">
      <c r="C385" s="25"/>
      <c r="D385" s="2"/>
      <c r="E385" s="5"/>
      <c r="F385" s="5"/>
      <c r="G385" s="6" t="str">
        <f t="shared" si="25"/>
        <v/>
      </c>
    </row>
    <row r="386" spans="2:7" x14ac:dyDescent="0.2">
      <c r="C386" s="25"/>
      <c r="D386" s="2"/>
      <c r="E386" s="5"/>
      <c r="F386" s="5"/>
      <c r="G386" s="6" t="str">
        <f t="shared" si="25"/>
        <v/>
      </c>
    </row>
    <row r="387" spans="2:7" x14ac:dyDescent="0.2">
      <c r="C387" s="25"/>
      <c r="D387" s="2"/>
      <c r="E387" s="5"/>
      <c r="F387" s="5"/>
      <c r="G387" s="6" t="str">
        <f t="shared" si="25"/>
        <v/>
      </c>
    </row>
    <row r="388" spans="2:7" x14ac:dyDescent="0.2">
      <c r="C388" s="25"/>
      <c r="D388" s="2"/>
      <c r="E388" s="5"/>
      <c r="F388" s="5"/>
      <c r="G388" s="6" t="str">
        <f t="shared" si="25"/>
        <v/>
      </c>
    </row>
    <row r="389" spans="2:7" x14ac:dyDescent="0.2">
      <c r="C389" s="25"/>
      <c r="D389" s="2"/>
      <c r="E389" s="5"/>
      <c r="F389" s="5"/>
      <c r="G389" s="6" t="str">
        <f t="shared" si="25"/>
        <v/>
      </c>
    </row>
    <row r="390" spans="2:7" x14ac:dyDescent="0.2">
      <c r="C390" s="25"/>
      <c r="D390" s="2"/>
      <c r="E390" s="5"/>
      <c r="F390" s="5"/>
      <c r="G390" s="6" t="str">
        <f t="shared" si="25"/>
        <v/>
      </c>
    </row>
    <row r="391" spans="2:7" x14ac:dyDescent="0.2">
      <c r="B391" s="13">
        <f>G391</f>
        <v>0</v>
      </c>
      <c r="C391" s="29"/>
      <c r="D391" s="7"/>
      <c r="E391" s="7"/>
      <c r="F391" s="8" t="s">
        <v>5</v>
      </c>
      <c r="G391" s="9">
        <f>SUM(G381:G390)</f>
        <v>0</v>
      </c>
    </row>
    <row r="392" spans="2:7" x14ac:dyDescent="0.2">
      <c r="C392" s="36">
        <f>C379+1</f>
        <v>44070</v>
      </c>
      <c r="D392" s="37"/>
      <c r="E392" s="37"/>
      <c r="F392" s="37"/>
      <c r="G392" s="38"/>
    </row>
    <row r="393" spans="2:7" x14ac:dyDescent="0.2">
      <c r="C393" s="25" t="s">
        <v>0</v>
      </c>
      <c r="D393" s="2" t="s">
        <v>1</v>
      </c>
      <c r="E393" s="3" t="s">
        <v>2</v>
      </c>
      <c r="F393" s="3" t="s">
        <v>3</v>
      </c>
      <c r="G393" s="4" t="s">
        <v>4</v>
      </c>
    </row>
    <row r="394" spans="2:7" x14ac:dyDescent="0.2">
      <c r="C394" s="25"/>
      <c r="D394" s="2"/>
      <c r="E394" s="5"/>
      <c r="F394" s="5"/>
      <c r="G394" s="6"/>
    </row>
    <row r="395" spans="2:7" x14ac:dyDescent="0.2">
      <c r="C395" s="25"/>
      <c r="D395" s="2"/>
      <c r="E395" s="5"/>
      <c r="F395" s="5"/>
      <c r="G395" s="6"/>
    </row>
    <row r="396" spans="2:7" x14ac:dyDescent="0.2">
      <c r="C396" s="25"/>
      <c r="D396" s="2"/>
      <c r="E396" s="5"/>
      <c r="F396" s="5"/>
      <c r="G396" s="6"/>
    </row>
    <row r="397" spans="2:7" x14ac:dyDescent="0.2">
      <c r="C397" s="25"/>
      <c r="D397" s="2"/>
      <c r="E397" s="5"/>
      <c r="F397" s="5"/>
      <c r="G397" s="6" t="str">
        <f t="shared" ref="G397:G407" si="26">IF(ISBLANK(E397),"",(E397-F397-(E397*0.014+0.25)))</f>
        <v/>
      </c>
    </row>
    <row r="398" spans="2:7" x14ac:dyDescent="0.2">
      <c r="C398" s="25"/>
      <c r="D398" s="2"/>
      <c r="E398" s="5"/>
      <c r="F398" s="5"/>
      <c r="G398" s="6" t="str">
        <f t="shared" si="26"/>
        <v/>
      </c>
    </row>
    <row r="399" spans="2:7" x14ac:dyDescent="0.2">
      <c r="C399" s="25"/>
      <c r="D399" s="2"/>
      <c r="E399" s="5"/>
      <c r="F399" s="5"/>
      <c r="G399" s="6" t="str">
        <f t="shared" si="26"/>
        <v/>
      </c>
    </row>
    <row r="400" spans="2:7" x14ac:dyDescent="0.2">
      <c r="C400" s="25"/>
      <c r="D400" s="2"/>
      <c r="E400" s="5"/>
      <c r="F400" s="5"/>
      <c r="G400" s="6" t="str">
        <f t="shared" si="26"/>
        <v/>
      </c>
    </row>
    <row r="401" spans="2:7" x14ac:dyDescent="0.2">
      <c r="C401" s="25"/>
      <c r="D401" s="2"/>
      <c r="E401" s="5"/>
      <c r="F401" s="5"/>
      <c r="G401" s="6" t="str">
        <f t="shared" si="26"/>
        <v/>
      </c>
    </row>
    <row r="402" spans="2:7" x14ac:dyDescent="0.2">
      <c r="C402" s="25"/>
      <c r="D402" s="2"/>
      <c r="E402" s="5"/>
      <c r="F402" s="5"/>
      <c r="G402" s="6" t="str">
        <f t="shared" si="26"/>
        <v/>
      </c>
    </row>
    <row r="403" spans="2:7" x14ac:dyDescent="0.2">
      <c r="C403" s="25"/>
      <c r="D403" s="2"/>
      <c r="E403" s="5"/>
      <c r="F403" s="5"/>
      <c r="G403" s="6" t="str">
        <f t="shared" si="26"/>
        <v/>
      </c>
    </row>
    <row r="404" spans="2:7" x14ac:dyDescent="0.2">
      <c r="C404" s="25"/>
      <c r="D404" s="2"/>
      <c r="E404" s="5"/>
      <c r="F404" s="5"/>
      <c r="G404" s="6" t="str">
        <f t="shared" si="26"/>
        <v/>
      </c>
    </row>
    <row r="405" spans="2:7" x14ac:dyDescent="0.2">
      <c r="C405" s="25"/>
      <c r="D405" s="2"/>
      <c r="E405" s="5"/>
      <c r="F405" s="5"/>
      <c r="G405" s="6" t="str">
        <f t="shared" si="26"/>
        <v/>
      </c>
    </row>
    <row r="406" spans="2:7" x14ac:dyDescent="0.2">
      <c r="C406" s="25"/>
      <c r="D406" s="2"/>
      <c r="E406" s="5"/>
      <c r="F406" s="5"/>
      <c r="G406" s="6" t="str">
        <f t="shared" si="26"/>
        <v/>
      </c>
    </row>
    <row r="407" spans="2:7" x14ac:dyDescent="0.2">
      <c r="C407" s="25"/>
      <c r="D407" s="2"/>
      <c r="E407" s="5"/>
      <c r="F407" s="5"/>
      <c r="G407" s="6" t="str">
        <f t="shared" si="26"/>
        <v/>
      </c>
    </row>
    <row r="408" spans="2:7" x14ac:dyDescent="0.2">
      <c r="B408" s="13">
        <f>G408</f>
        <v>0</v>
      </c>
      <c r="C408" s="29"/>
      <c r="D408" s="7"/>
      <c r="E408" s="7"/>
      <c r="F408" s="8" t="s">
        <v>5</v>
      </c>
      <c r="G408" s="9">
        <f>SUM(G394:G407)</f>
        <v>0</v>
      </c>
    </row>
    <row r="409" spans="2:7" x14ac:dyDescent="0.2">
      <c r="C409" s="36">
        <f>C392+1</f>
        <v>44071</v>
      </c>
      <c r="D409" s="37"/>
      <c r="E409" s="37"/>
      <c r="F409" s="37"/>
      <c r="G409" s="38"/>
    </row>
    <row r="410" spans="2:7" x14ac:dyDescent="0.2">
      <c r="C410" s="25" t="s">
        <v>0</v>
      </c>
      <c r="D410" s="2" t="s">
        <v>1</v>
      </c>
      <c r="E410" s="3" t="s">
        <v>2</v>
      </c>
      <c r="F410" s="3" t="s">
        <v>3</v>
      </c>
      <c r="G410" s="4" t="s">
        <v>4</v>
      </c>
    </row>
    <row r="411" spans="2:7" x14ac:dyDescent="0.2">
      <c r="C411" s="25"/>
      <c r="D411" s="2"/>
      <c r="E411" s="5"/>
      <c r="F411" s="5"/>
      <c r="G411" s="6" t="str">
        <f t="shared" ref="G411:G421" si="27">IF(ISBLANK(E411),"",(E411-F411-(E411*0.014+0.25)))</f>
        <v/>
      </c>
    </row>
    <row r="412" spans="2:7" x14ac:dyDescent="0.2">
      <c r="C412" s="25"/>
      <c r="D412" s="2"/>
      <c r="E412" s="5"/>
      <c r="F412" s="5"/>
      <c r="G412" s="6" t="str">
        <f t="shared" si="27"/>
        <v/>
      </c>
    </row>
    <row r="413" spans="2:7" x14ac:dyDescent="0.2">
      <c r="C413" s="25"/>
      <c r="D413" s="2"/>
      <c r="E413" s="5"/>
      <c r="F413" s="5"/>
      <c r="G413" s="6" t="str">
        <f t="shared" si="27"/>
        <v/>
      </c>
    </row>
    <row r="414" spans="2:7" x14ac:dyDescent="0.2">
      <c r="C414" s="25"/>
      <c r="D414" s="2"/>
      <c r="E414" s="5"/>
      <c r="F414" s="5"/>
      <c r="G414" s="6" t="str">
        <f t="shared" si="27"/>
        <v/>
      </c>
    </row>
    <row r="415" spans="2:7" x14ac:dyDescent="0.2">
      <c r="C415" s="25"/>
      <c r="D415" s="2"/>
      <c r="E415" s="5"/>
      <c r="F415" s="5"/>
      <c r="G415" s="6" t="str">
        <f t="shared" si="27"/>
        <v/>
      </c>
    </row>
    <row r="416" spans="2:7" x14ac:dyDescent="0.2">
      <c r="C416" s="25"/>
      <c r="D416" s="2"/>
      <c r="E416" s="5"/>
      <c r="F416" s="5"/>
      <c r="G416" s="6" t="str">
        <f t="shared" si="27"/>
        <v/>
      </c>
    </row>
    <row r="417" spans="2:7" x14ac:dyDescent="0.2">
      <c r="C417" s="25"/>
      <c r="D417" s="2"/>
      <c r="E417" s="5"/>
      <c r="F417" s="5"/>
      <c r="G417" s="6" t="str">
        <f t="shared" si="27"/>
        <v/>
      </c>
    </row>
    <row r="418" spans="2:7" x14ac:dyDescent="0.2">
      <c r="C418" s="25"/>
      <c r="D418" s="2"/>
      <c r="E418" s="5"/>
      <c r="F418" s="5"/>
      <c r="G418" s="6" t="str">
        <f t="shared" si="27"/>
        <v/>
      </c>
    </row>
    <row r="419" spans="2:7" x14ac:dyDescent="0.2">
      <c r="C419" s="25"/>
      <c r="D419" s="2"/>
      <c r="E419" s="5"/>
      <c r="F419" s="5"/>
      <c r="G419" s="6" t="str">
        <f t="shared" si="27"/>
        <v/>
      </c>
    </row>
    <row r="420" spans="2:7" x14ac:dyDescent="0.2">
      <c r="C420" s="25"/>
      <c r="D420" s="2"/>
      <c r="E420" s="5"/>
      <c r="F420" s="5"/>
      <c r="G420" s="6" t="str">
        <f t="shared" si="27"/>
        <v/>
      </c>
    </row>
    <row r="421" spans="2:7" x14ac:dyDescent="0.2">
      <c r="C421" s="25"/>
      <c r="D421" s="2"/>
      <c r="E421" s="5"/>
      <c r="F421" s="5"/>
      <c r="G421" s="6" t="str">
        <f t="shared" si="27"/>
        <v/>
      </c>
    </row>
    <row r="422" spans="2:7" x14ac:dyDescent="0.2">
      <c r="B422" s="13">
        <f>G422</f>
        <v>0</v>
      </c>
      <c r="C422" s="29"/>
      <c r="D422" s="7"/>
      <c r="E422" s="7"/>
      <c r="F422" s="8" t="s">
        <v>5</v>
      </c>
      <c r="G422" s="9">
        <f>SUM(G411:G421)</f>
        <v>0</v>
      </c>
    </row>
    <row r="423" spans="2:7" x14ac:dyDescent="0.2">
      <c r="C423" s="36">
        <f>C409+1</f>
        <v>44072</v>
      </c>
      <c r="D423" s="37"/>
      <c r="E423" s="37"/>
      <c r="F423" s="37"/>
      <c r="G423" s="38"/>
    </row>
    <row r="424" spans="2:7" x14ac:dyDescent="0.2">
      <c r="C424" s="25" t="s">
        <v>0</v>
      </c>
      <c r="D424" s="2" t="s">
        <v>1</v>
      </c>
      <c r="E424" s="3" t="s">
        <v>2</v>
      </c>
      <c r="F424" s="3" t="s">
        <v>3</v>
      </c>
      <c r="G424" s="4" t="s">
        <v>4</v>
      </c>
    </row>
    <row r="425" spans="2:7" x14ac:dyDescent="0.2">
      <c r="C425" s="25"/>
      <c r="D425" s="2"/>
      <c r="E425" s="5"/>
      <c r="F425" s="5"/>
      <c r="G425" s="6" t="str">
        <f>IF(ISBLANK(E425),"",(E425-F425-(E425*0.014+0.25)))</f>
        <v/>
      </c>
    </row>
    <row r="426" spans="2:7" x14ac:dyDescent="0.2">
      <c r="C426" s="25"/>
      <c r="D426" s="2"/>
      <c r="E426" s="5"/>
      <c r="F426" s="5"/>
      <c r="G426" s="6" t="str">
        <f>IF(ISBLANK(E426),"",(E426-F426-(E426*0.014+0.25)))</f>
        <v/>
      </c>
    </row>
    <row r="427" spans="2:7" x14ac:dyDescent="0.2">
      <c r="C427" s="25"/>
      <c r="D427" s="2"/>
      <c r="E427" s="5"/>
      <c r="F427" s="5"/>
      <c r="G427" s="6" t="str">
        <f>IF(ISBLANK(E427),"",(E427-F427-(E427*0.014+0.25)))</f>
        <v/>
      </c>
    </row>
    <row r="428" spans="2:7" x14ac:dyDescent="0.2">
      <c r="C428" s="25"/>
      <c r="D428" s="2"/>
      <c r="E428" s="5"/>
      <c r="F428" s="5"/>
      <c r="G428" s="6" t="str">
        <f>IF(ISBLANK(E428),"",(E428-F428-(E428*0.014+0.25)))</f>
        <v/>
      </c>
    </row>
    <row r="429" spans="2:7" x14ac:dyDescent="0.2">
      <c r="C429" s="25"/>
      <c r="D429" s="2"/>
      <c r="E429" s="5"/>
      <c r="F429" s="5"/>
      <c r="G429" s="6" t="str">
        <f>IF(ISBLANK(E429),"",(E429-F429-(E429*0.014+0.25)))</f>
        <v/>
      </c>
    </row>
    <row r="430" spans="2:7" x14ac:dyDescent="0.2">
      <c r="B430" s="13">
        <f>G430</f>
        <v>0</v>
      </c>
      <c r="C430" s="29"/>
      <c r="D430" s="7"/>
      <c r="E430" s="7"/>
      <c r="F430" s="8" t="s">
        <v>5</v>
      </c>
      <c r="G430" s="9">
        <f>SUM(G425:G429)</f>
        <v>0</v>
      </c>
    </row>
    <row r="431" spans="2:7" x14ac:dyDescent="0.2">
      <c r="C431" s="36">
        <f>C423+1</f>
        <v>44073</v>
      </c>
      <c r="D431" s="37"/>
      <c r="E431" s="37"/>
      <c r="F431" s="37"/>
      <c r="G431" s="38"/>
    </row>
    <row r="432" spans="2:7" x14ac:dyDescent="0.2">
      <c r="C432" s="25" t="s">
        <v>0</v>
      </c>
      <c r="D432" s="2" t="s">
        <v>1</v>
      </c>
      <c r="E432" s="3" t="s">
        <v>2</v>
      </c>
      <c r="F432" s="3" t="s">
        <v>3</v>
      </c>
      <c r="G432" s="4" t="s">
        <v>4</v>
      </c>
    </row>
    <row r="433" spans="2:7" x14ac:dyDescent="0.2">
      <c r="C433" s="25"/>
      <c r="D433" s="2"/>
      <c r="E433" s="5"/>
      <c r="F433" s="5"/>
      <c r="G433" s="6" t="str">
        <f t="shared" ref="G433:G440" si="28">IF(ISBLANK(E433),"",(E433-F433-(E433*0.014+0.25)))</f>
        <v/>
      </c>
    </row>
    <row r="434" spans="2:7" x14ac:dyDescent="0.2">
      <c r="C434" s="25"/>
      <c r="D434" s="2"/>
      <c r="E434" s="5"/>
      <c r="F434" s="5"/>
      <c r="G434" s="6" t="str">
        <f t="shared" si="28"/>
        <v/>
      </c>
    </row>
    <row r="435" spans="2:7" x14ac:dyDescent="0.2">
      <c r="C435" s="25"/>
      <c r="D435" s="2"/>
      <c r="E435" s="5"/>
      <c r="F435" s="5"/>
      <c r="G435" s="6" t="str">
        <f t="shared" si="28"/>
        <v/>
      </c>
    </row>
    <row r="436" spans="2:7" x14ac:dyDescent="0.2">
      <c r="C436" s="25"/>
      <c r="D436" s="2"/>
      <c r="E436" s="5"/>
      <c r="F436" s="5"/>
      <c r="G436" s="6" t="str">
        <f t="shared" si="28"/>
        <v/>
      </c>
    </row>
    <row r="437" spans="2:7" x14ac:dyDescent="0.2">
      <c r="C437" s="25"/>
      <c r="D437" s="2"/>
      <c r="E437" s="5"/>
      <c r="F437" s="5"/>
      <c r="G437" s="6" t="str">
        <f t="shared" si="28"/>
        <v/>
      </c>
    </row>
    <row r="438" spans="2:7" x14ac:dyDescent="0.2">
      <c r="C438" s="25"/>
      <c r="D438" s="2"/>
      <c r="E438" s="5"/>
      <c r="F438" s="5"/>
      <c r="G438" s="6" t="str">
        <f t="shared" si="28"/>
        <v/>
      </c>
    </row>
    <row r="439" spans="2:7" x14ac:dyDescent="0.2">
      <c r="C439" s="25"/>
      <c r="D439" s="2"/>
      <c r="E439" s="5"/>
      <c r="F439" s="5"/>
      <c r="G439" s="6" t="str">
        <f t="shared" si="28"/>
        <v/>
      </c>
    </row>
    <row r="440" spans="2:7" x14ac:dyDescent="0.2">
      <c r="C440" s="25"/>
      <c r="D440" s="2"/>
      <c r="E440" s="5"/>
      <c r="F440" s="5"/>
      <c r="G440" s="6" t="str">
        <f t="shared" si="28"/>
        <v/>
      </c>
    </row>
    <row r="441" spans="2:7" x14ac:dyDescent="0.2">
      <c r="B441" s="13">
        <f>G441</f>
        <v>0</v>
      </c>
      <c r="C441" s="29"/>
      <c r="D441" s="7"/>
      <c r="E441" s="7"/>
      <c r="F441" s="8" t="s">
        <v>5</v>
      </c>
      <c r="G441" s="9">
        <f>SUM(G433:G440)</f>
        <v>0</v>
      </c>
    </row>
    <row r="442" spans="2:7" x14ac:dyDescent="0.2">
      <c r="C442" s="36">
        <f>C431+1</f>
        <v>44074</v>
      </c>
      <c r="D442" s="37"/>
      <c r="E442" s="37"/>
      <c r="F442" s="37"/>
      <c r="G442" s="38"/>
    </row>
    <row r="443" spans="2:7" x14ac:dyDescent="0.2">
      <c r="C443" s="25" t="s">
        <v>0</v>
      </c>
      <c r="D443" s="2" t="s">
        <v>1</v>
      </c>
      <c r="E443" s="3" t="s">
        <v>2</v>
      </c>
      <c r="F443" s="3" t="s">
        <v>3</v>
      </c>
      <c r="G443" s="4" t="s">
        <v>4</v>
      </c>
    </row>
    <row r="444" spans="2:7" x14ac:dyDescent="0.2">
      <c r="C444" s="16"/>
      <c r="D444" s="2"/>
      <c r="E444" s="5"/>
      <c r="F444" s="5"/>
      <c r="G444" s="6" t="str">
        <f>IF(ISBLANK(E444),"",(E444-F444-(E444*0.014+0.25)))</f>
        <v/>
      </c>
    </row>
    <row r="445" spans="2:7" x14ac:dyDescent="0.2">
      <c r="C445" s="16"/>
      <c r="D445" s="2"/>
      <c r="E445" s="5"/>
      <c r="F445" s="5"/>
      <c r="G445" s="6" t="str">
        <f>IF(ISBLANK(E445),"",(E445-F445-(E445*0.014+0.25)))</f>
        <v/>
      </c>
    </row>
    <row r="446" spans="2:7" x14ac:dyDescent="0.2">
      <c r="C446" s="16"/>
      <c r="D446" s="2"/>
      <c r="E446" s="5"/>
      <c r="F446" s="5"/>
      <c r="G446" s="6" t="str">
        <f>IF(ISBLANK(E446),"",(E446-F446-(E446*0.014+0.25)))</f>
        <v/>
      </c>
    </row>
    <row r="447" spans="2:7" x14ac:dyDescent="0.2">
      <c r="C447" s="25"/>
      <c r="D447" s="2"/>
      <c r="E447" s="5"/>
      <c r="F447" s="5"/>
      <c r="G447" s="6" t="str">
        <f>IF(ISBLANK(E447),"",(E447-F447-(E447*0.014+0.25)))</f>
        <v/>
      </c>
    </row>
    <row r="448" spans="2:7" x14ac:dyDescent="0.2">
      <c r="B448" s="13">
        <f>G448</f>
        <v>0</v>
      </c>
      <c r="C448" s="30" t="s">
        <v>13</v>
      </c>
      <c r="D448" s="22">
        <v>60.25</v>
      </c>
      <c r="E448" s="21">
        <f>G448-D448</f>
        <v>-60.25</v>
      </c>
      <c r="F448" s="23" t="s">
        <v>5</v>
      </c>
      <c r="G448" s="24">
        <f>SUM(G444:G447)</f>
        <v>0</v>
      </c>
    </row>
  </sheetData>
  <mergeCells count="32">
    <mergeCell ref="C431:G431"/>
    <mergeCell ref="C442:G442"/>
    <mergeCell ref="C348:G348"/>
    <mergeCell ref="C365:G365"/>
    <mergeCell ref="C379:G379"/>
    <mergeCell ref="C392:G392"/>
    <mergeCell ref="C409:G409"/>
    <mergeCell ref="C423:G423"/>
    <mergeCell ref="C334:G334"/>
    <mergeCell ref="C177:G177"/>
    <mergeCell ref="C190:G190"/>
    <mergeCell ref="C203:G203"/>
    <mergeCell ref="C220:G220"/>
    <mergeCell ref="C233:G233"/>
    <mergeCell ref="C247:G247"/>
    <mergeCell ref="C260:G260"/>
    <mergeCell ref="C273:G273"/>
    <mergeCell ref="C290:G290"/>
    <mergeCell ref="C307:G307"/>
    <mergeCell ref="C320:G320"/>
    <mergeCell ref="C161:G161"/>
    <mergeCell ref="K1:K2"/>
    <mergeCell ref="C5:G5"/>
    <mergeCell ref="C20:G20"/>
    <mergeCell ref="C39:G39"/>
    <mergeCell ref="C53:G53"/>
    <mergeCell ref="C68:G68"/>
    <mergeCell ref="C85:G85"/>
    <mergeCell ref="C101:G101"/>
    <mergeCell ref="C117:G117"/>
    <mergeCell ref="C133:G133"/>
    <mergeCell ref="C147:G147"/>
  </mergeCells>
  <conditionalFormatting sqref="K1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0AC67-0A8C-914F-AAD5-F8C7C425A061}">
  <sheetPr codeName="Feuil4"/>
  <dimension ref="A1:AD445"/>
  <sheetViews>
    <sheetView zoomScale="132" workbookViewId="0">
      <pane ySplit="4" topLeftCell="A5" activePane="bottomLeft" state="frozen"/>
      <selection activeCell="G2" sqref="G2"/>
      <selection pane="bottomLeft" activeCell="I2" sqref="I2"/>
    </sheetView>
  </sheetViews>
  <sheetFormatPr baseColWidth="10" defaultColWidth="11.5" defaultRowHeight="15" x14ac:dyDescent="0.2"/>
  <cols>
    <col min="1" max="1" width="11.5" style="12" customWidth="1"/>
    <col min="2" max="2" width="11.5" style="13" customWidth="1"/>
    <col min="3" max="3" width="18.33203125" style="31" customWidth="1"/>
    <col min="4" max="4" width="20.83203125" style="1" customWidth="1"/>
    <col min="5" max="6" width="11.5" style="1" customWidth="1"/>
    <col min="7" max="7" width="18.33203125" style="1" bestFit="1" customWidth="1"/>
    <col min="8" max="8" width="11.5" style="12" customWidth="1"/>
    <col min="9" max="9" width="11.33203125" style="12" customWidth="1"/>
    <col min="10" max="10" width="11" style="12" bestFit="1" customWidth="1"/>
    <col min="11" max="11" width="8.6640625" style="12" bestFit="1" customWidth="1"/>
    <col min="12" max="12" width="7.6640625" style="12" bestFit="1" customWidth="1"/>
    <col min="13" max="13" width="4.5" style="12" customWidth="1"/>
    <col min="14" max="30" width="11.5" style="12" customWidth="1"/>
    <col min="31" max="31" width="11.5" style="1" customWidth="1"/>
    <col min="32" max="16384" width="11.5" style="1"/>
  </cols>
  <sheetData>
    <row r="1" spans="3:12" x14ac:dyDescent="0.2">
      <c r="C1" s="26" t="s">
        <v>6</v>
      </c>
      <c r="D1" s="11">
        <f>SUM(B:B)</f>
        <v>0</v>
      </c>
      <c r="E1" s="12"/>
      <c r="F1" s="10" t="s">
        <v>8</v>
      </c>
      <c r="G1" s="15">
        <f>IFERROR(SUM(B:B)/COUNTIF(B:B,"&gt;0"),0)</f>
        <v>0</v>
      </c>
      <c r="H1" s="10" t="s">
        <v>16</v>
      </c>
      <c r="I1" s="19">
        <v>109</v>
      </c>
      <c r="J1" s="10"/>
      <c r="K1" s="35">
        <f>D1-D2-I2-I1</f>
        <v>-109</v>
      </c>
    </row>
    <row r="2" spans="3:12" x14ac:dyDescent="0.2">
      <c r="C2" s="26" t="s">
        <v>10</v>
      </c>
      <c r="D2" s="18"/>
      <c r="E2" s="12"/>
      <c r="F2" s="10" t="s">
        <v>9</v>
      </c>
      <c r="G2" s="15"/>
      <c r="H2" s="10" t="s">
        <v>11</v>
      </c>
      <c r="I2" s="19">
        <f>1/100*G2</f>
        <v>0</v>
      </c>
      <c r="J2" s="10" t="s">
        <v>12</v>
      </c>
      <c r="K2" s="35"/>
      <c r="L2" s="20"/>
    </row>
    <row r="3" spans="3:12" ht="16" thickBot="1" x14ac:dyDescent="0.25">
      <c r="C3" s="27" t="s">
        <v>7</v>
      </c>
      <c r="D3" s="14"/>
      <c r="E3" s="14"/>
      <c r="F3" s="14"/>
      <c r="G3" s="14"/>
    </row>
    <row r="4" spans="3:12" ht="3" customHeight="1" x14ac:dyDescent="0.2">
      <c r="C4" s="28"/>
      <c r="D4" s="12"/>
      <c r="E4" s="12"/>
      <c r="F4" s="12"/>
      <c r="G4" s="12"/>
    </row>
    <row r="5" spans="3:12" x14ac:dyDescent="0.2">
      <c r="C5" s="36">
        <v>44044</v>
      </c>
      <c r="D5" s="37"/>
      <c r="E5" s="37"/>
      <c r="F5" s="37"/>
      <c r="G5" s="38"/>
    </row>
    <row r="6" spans="3:12" x14ac:dyDescent="0.2">
      <c r="C6" s="25" t="s">
        <v>0</v>
      </c>
      <c r="D6" s="2" t="s">
        <v>1</v>
      </c>
      <c r="E6" s="5" t="s">
        <v>2</v>
      </c>
      <c r="F6" s="5" t="s">
        <v>3</v>
      </c>
      <c r="G6" s="6" t="s">
        <v>4</v>
      </c>
    </row>
    <row r="7" spans="3:12" x14ac:dyDescent="0.2">
      <c r="C7" s="25"/>
      <c r="D7" s="2"/>
      <c r="E7" s="5"/>
      <c r="F7" s="5"/>
      <c r="G7" s="6" t="str">
        <f t="shared" ref="G7:G18" si="0">IF(ISBLANK(E7),"",(E7-F7-(E7*0.014+0.25)))</f>
        <v/>
      </c>
    </row>
    <row r="8" spans="3:12" x14ac:dyDescent="0.2">
      <c r="C8" s="25"/>
      <c r="D8" s="2"/>
      <c r="E8" s="5"/>
      <c r="F8" s="5"/>
      <c r="G8" s="6" t="str">
        <f t="shared" si="0"/>
        <v/>
      </c>
    </row>
    <row r="9" spans="3:12" x14ac:dyDescent="0.2">
      <c r="C9" s="25"/>
      <c r="D9" s="2"/>
      <c r="E9" s="5"/>
      <c r="F9" s="5"/>
      <c r="G9" s="6" t="str">
        <f t="shared" si="0"/>
        <v/>
      </c>
    </row>
    <row r="10" spans="3:12" x14ac:dyDescent="0.2">
      <c r="C10" s="25"/>
      <c r="D10" s="2"/>
      <c r="E10" s="5"/>
      <c r="F10" s="5"/>
      <c r="G10" s="6" t="str">
        <f t="shared" si="0"/>
        <v/>
      </c>
    </row>
    <row r="11" spans="3:12" x14ac:dyDescent="0.2">
      <c r="C11" s="25"/>
      <c r="D11" s="2"/>
      <c r="E11" s="5"/>
      <c r="F11" s="5"/>
      <c r="G11" s="6" t="str">
        <f t="shared" si="0"/>
        <v/>
      </c>
    </row>
    <row r="12" spans="3:12" x14ac:dyDescent="0.2">
      <c r="C12" s="25"/>
      <c r="D12" s="2"/>
      <c r="E12" s="5"/>
      <c r="F12" s="5"/>
      <c r="G12" s="6" t="str">
        <f t="shared" si="0"/>
        <v/>
      </c>
    </row>
    <row r="13" spans="3:12" x14ac:dyDescent="0.2">
      <c r="C13" s="25"/>
      <c r="D13" s="2"/>
      <c r="E13" s="5"/>
      <c r="F13" s="5"/>
      <c r="G13" s="6" t="str">
        <f t="shared" si="0"/>
        <v/>
      </c>
    </row>
    <row r="14" spans="3:12" x14ac:dyDescent="0.2">
      <c r="C14" s="25"/>
      <c r="D14" s="5"/>
      <c r="E14" s="5"/>
      <c r="G14" s="6" t="str">
        <f>IF(ISBLANK(E14),"",(E14-D14-(E14*0.014+0.25)))</f>
        <v/>
      </c>
    </row>
    <row r="15" spans="3:12" x14ac:dyDescent="0.2">
      <c r="C15" s="25"/>
      <c r="D15" s="2"/>
      <c r="E15" s="5"/>
      <c r="F15" s="5"/>
      <c r="G15" s="6" t="str">
        <f t="shared" si="0"/>
        <v/>
      </c>
    </row>
    <row r="16" spans="3:12" x14ac:dyDescent="0.2">
      <c r="C16" s="25"/>
      <c r="D16" s="2"/>
      <c r="E16" s="5"/>
      <c r="F16" s="5"/>
      <c r="G16" s="6" t="str">
        <f t="shared" si="0"/>
        <v/>
      </c>
    </row>
    <row r="17" spans="2:7" x14ac:dyDescent="0.2">
      <c r="C17" s="25"/>
      <c r="D17" s="2"/>
      <c r="E17" s="5"/>
      <c r="F17" s="5"/>
      <c r="G17" s="6" t="str">
        <f t="shared" si="0"/>
        <v/>
      </c>
    </row>
    <row r="18" spans="2:7" x14ac:dyDescent="0.2">
      <c r="C18" s="25"/>
      <c r="D18" s="2"/>
      <c r="E18" s="5"/>
      <c r="F18" s="5"/>
      <c r="G18" s="6" t="str">
        <f t="shared" si="0"/>
        <v/>
      </c>
    </row>
    <row r="19" spans="2:7" x14ac:dyDescent="0.2">
      <c r="B19" s="13">
        <f>G19</f>
        <v>0</v>
      </c>
      <c r="C19" s="30"/>
      <c r="D19" s="22"/>
      <c r="E19" s="22"/>
      <c r="F19" s="23" t="s">
        <v>5</v>
      </c>
      <c r="G19" s="24">
        <f>SUM(G7:G18)</f>
        <v>0</v>
      </c>
    </row>
    <row r="20" spans="2:7" x14ac:dyDescent="0.2">
      <c r="C20" s="36">
        <f>C5+1</f>
        <v>44045</v>
      </c>
      <c r="D20" s="37"/>
      <c r="E20" s="37"/>
      <c r="F20" s="37"/>
      <c r="G20" s="38"/>
    </row>
    <row r="21" spans="2:7" x14ac:dyDescent="0.2">
      <c r="C21" s="25" t="s">
        <v>0</v>
      </c>
      <c r="D21" s="2" t="s">
        <v>1</v>
      </c>
      <c r="E21" s="5" t="s">
        <v>2</v>
      </c>
      <c r="F21" s="5" t="s">
        <v>3</v>
      </c>
      <c r="G21" s="6" t="s">
        <v>4</v>
      </c>
    </row>
    <row r="22" spans="2:7" x14ac:dyDescent="0.2">
      <c r="C22" s="25"/>
      <c r="D22" s="2"/>
      <c r="E22" s="5"/>
      <c r="F22" s="5"/>
      <c r="G22" s="6" t="str">
        <f t="shared" ref="G22:G34" si="1">IF(ISBLANK(E22),"",(E22-F22-(E22*0.014+0.25)))</f>
        <v/>
      </c>
    </row>
    <row r="23" spans="2:7" x14ac:dyDescent="0.2">
      <c r="C23" s="25"/>
      <c r="D23" s="2"/>
      <c r="E23" s="5"/>
      <c r="F23" s="5"/>
      <c r="G23" s="6" t="str">
        <f t="shared" si="1"/>
        <v/>
      </c>
    </row>
    <row r="24" spans="2:7" x14ac:dyDescent="0.2">
      <c r="C24" s="25"/>
      <c r="D24" s="2"/>
      <c r="E24" s="5"/>
      <c r="F24" s="5"/>
      <c r="G24" s="6" t="str">
        <f t="shared" si="1"/>
        <v/>
      </c>
    </row>
    <row r="25" spans="2:7" x14ac:dyDescent="0.2">
      <c r="C25" s="25"/>
      <c r="D25" s="2"/>
      <c r="E25" s="5"/>
      <c r="F25" s="5"/>
      <c r="G25" s="6" t="str">
        <f t="shared" si="1"/>
        <v/>
      </c>
    </row>
    <row r="26" spans="2:7" x14ac:dyDescent="0.2">
      <c r="C26" s="25"/>
      <c r="D26" s="2"/>
      <c r="E26" s="5"/>
      <c r="F26" s="5"/>
      <c r="G26" s="6" t="str">
        <f t="shared" si="1"/>
        <v/>
      </c>
    </row>
    <row r="27" spans="2:7" x14ac:dyDescent="0.2">
      <c r="C27" s="25"/>
      <c r="D27" s="2"/>
      <c r="E27" s="5"/>
      <c r="F27" s="5"/>
      <c r="G27" s="6" t="str">
        <f t="shared" si="1"/>
        <v/>
      </c>
    </row>
    <row r="28" spans="2:7" x14ac:dyDescent="0.2">
      <c r="C28" s="25"/>
      <c r="D28" s="2"/>
      <c r="E28" s="5"/>
      <c r="F28" s="5"/>
      <c r="G28" s="6" t="str">
        <f t="shared" si="1"/>
        <v/>
      </c>
    </row>
    <row r="29" spans="2:7" x14ac:dyDescent="0.2">
      <c r="C29" s="25"/>
      <c r="D29" s="2"/>
      <c r="E29" s="5"/>
      <c r="F29" s="5"/>
      <c r="G29" s="6" t="str">
        <f t="shared" si="1"/>
        <v/>
      </c>
    </row>
    <row r="30" spans="2:7" x14ac:dyDescent="0.2">
      <c r="C30" s="25"/>
      <c r="D30" s="2"/>
      <c r="E30" s="5"/>
      <c r="F30" s="5"/>
      <c r="G30" s="6" t="str">
        <f t="shared" si="1"/>
        <v/>
      </c>
    </row>
    <row r="31" spans="2:7" x14ac:dyDescent="0.2">
      <c r="C31" s="25"/>
      <c r="D31" s="2"/>
      <c r="E31" s="5"/>
      <c r="F31" s="5"/>
      <c r="G31" s="6" t="str">
        <f t="shared" si="1"/>
        <v/>
      </c>
    </row>
    <row r="32" spans="2:7" x14ac:dyDescent="0.2">
      <c r="C32" s="25"/>
      <c r="D32" s="2"/>
      <c r="E32" s="5"/>
      <c r="F32" s="5"/>
      <c r="G32" s="6" t="str">
        <f t="shared" si="1"/>
        <v/>
      </c>
    </row>
    <row r="33" spans="2:7" x14ac:dyDescent="0.2">
      <c r="C33" s="25"/>
      <c r="D33" s="2"/>
      <c r="E33" s="5"/>
      <c r="F33" s="5"/>
      <c r="G33" s="6" t="str">
        <f t="shared" si="1"/>
        <v/>
      </c>
    </row>
    <row r="34" spans="2:7" x14ac:dyDescent="0.2">
      <c r="C34" s="25"/>
      <c r="D34" s="2"/>
      <c r="E34" s="5"/>
      <c r="F34" s="5"/>
      <c r="G34" s="6" t="str">
        <f t="shared" si="1"/>
        <v/>
      </c>
    </row>
    <row r="35" spans="2:7" x14ac:dyDescent="0.2">
      <c r="B35" s="13">
        <f>G35</f>
        <v>0</v>
      </c>
      <c r="C35" s="30"/>
      <c r="D35" s="22"/>
      <c r="E35" s="22"/>
      <c r="F35" s="23" t="s">
        <v>5</v>
      </c>
      <c r="G35" s="24">
        <f>SUM(G22:G34)</f>
        <v>0</v>
      </c>
    </row>
    <row r="36" spans="2:7" x14ac:dyDescent="0.2">
      <c r="C36" s="36">
        <f>C20+1</f>
        <v>44046</v>
      </c>
      <c r="D36" s="37"/>
      <c r="E36" s="37"/>
      <c r="F36" s="37"/>
      <c r="G36" s="38"/>
    </row>
    <row r="37" spans="2:7" x14ac:dyDescent="0.2">
      <c r="C37" s="25" t="s">
        <v>0</v>
      </c>
      <c r="D37" s="2" t="s">
        <v>1</v>
      </c>
      <c r="E37" s="5" t="s">
        <v>2</v>
      </c>
      <c r="F37" s="5" t="s">
        <v>3</v>
      </c>
      <c r="G37" s="6" t="s">
        <v>4</v>
      </c>
    </row>
    <row r="38" spans="2:7" x14ac:dyDescent="0.2">
      <c r="C38" s="25"/>
      <c r="D38" s="2"/>
      <c r="E38" s="5"/>
      <c r="F38" s="5"/>
      <c r="G38" s="6" t="str">
        <f t="shared" ref="G38:G48" si="2">IF(ISBLANK(E38),"",(E38-F38-(E38*0.014+0.25)))</f>
        <v/>
      </c>
    </row>
    <row r="39" spans="2:7" x14ac:dyDescent="0.2">
      <c r="C39" s="25"/>
      <c r="D39" s="2"/>
      <c r="E39" s="5"/>
      <c r="F39" s="5"/>
      <c r="G39" s="6" t="str">
        <f t="shared" si="2"/>
        <v/>
      </c>
    </row>
    <row r="40" spans="2:7" x14ac:dyDescent="0.2">
      <c r="C40" s="25"/>
      <c r="D40" s="2"/>
      <c r="E40" s="5"/>
      <c r="F40" s="5"/>
      <c r="G40" s="6" t="str">
        <f t="shared" si="2"/>
        <v/>
      </c>
    </row>
    <row r="41" spans="2:7" x14ac:dyDescent="0.2">
      <c r="C41" s="25"/>
      <c r="D41" s="2"/>
      <c r="E41" s="5"/>
      <c r="F41" s="5"/>
      <c r="G41" s="6" t="str">
        <f t="shared" si="2"/>
        <v/>
      </c>
    </row>
    <row r="42" spans="2:7" x14ac:dyDescent="0.2">
      <c r="C42" s="25"/>
      <c r="D42" s="2"/>
      <c r="E42" s="5"/>
      <c r="F42" s="5"/>
      <c r="G42" s="6" t="str">
        <f t="shared" si="2"/>
        <v/>
      </c>
    </row>
    <row r="43" spans="2:7" x14ac:dyDescent="0.2">
      <c r="C43" s="25"/>
      <c r="D43" s="2"/>
      <c r="E43" s="5"/>
      <c r="F43" s="5"/>
      <c r="G43" s="6" t="str">
        <f t="shared" si="2"/>
        <v/>
      </c>
    </row>
    <row r="44" spans="2:7" x14ac:dyDescent="0.2">
      <c r="C44" s="25"/>
      <c r="D44" s="2"/>
      <c r="E44" s="5"/>
      <c r="F44" s="5"/>
      <c r="G44" s="6" t="str">
        <f t="shared" si="2"/>
        <v/>
      </c>
    </row>
    <row r="45" spans="2:7" x14ac:dyDescent="0.2">
      <c r="C45" s="25"/>
      <c r="D45" s="2"/>
      <c r="E45" s="5"/>
      <c r="F45" s="5"/>
      <c r="G45" s="6" t="str">
        <f t="shared" si="2"/>
        <v/>
      </c>
    </row>
    <row r="46" spans="2:7" x14ac:dyDescent="0.2">
      <c r="C46" s="25"/>
      <c r="D46" s="2"/>
      <c r="E46" s="5"/>
      <c r="F46" s="5"/>
      <c r="G46" s="6" t="str">
        <f t="shared" si="2"/>
        <v/>
      </c>
    </row>
    <row r="47" spans="2:7" x14ac:dyDescent="0.2">
      <c r="C47" s="25"/>
      <c r="D47" s="2"/>
      <c r="E47" s="5"/>
      <c r="F47" s="5"/>
      <c r="G47" s="6" t="str">
        <f t="shared" si="2"/>
        <v/>
      </c>
    </row>
    <row r="48" spans="2:7" x14ac:dyDescent="0.2">
      <c r="C48" s="25"/>
      <c r="D48" s="2"/>
      <c r="E48" s="5"/>
      <c r="F48" s="5"/>
      <c r="G48" s="6" t="str">
        <f t="shared" si="2"/>
        <v/>
      </c>
    </row>
    <row r="49" spans="2:7" x14ac:dyDescent="0.2">
      <c r="B49" s="13">
        <f>G49</f>
        <v>0</v>
      </c>
      <c r="C49" s="30"/>
      <c r="D49" s="22"/>
      <c r="E49" s="22"/>
      <c r="F49" s="23" t="s">
        <v>5</v>
      </c>
      <c r="G49" s="24">
        <f>SUM(G38:G48)</f>
        <v>0</v>
      </c>
    </row>
    <row r="50" spans="2:7" x14ac:dyDescent="0.2">
      <c r="C50" s="36">
        <f>C36+1</f>
        <v>44047</v>
      </c>
      <c r="D50" s="37"/>
      <c r="E50" s="37"/>
      <c r="F50" s="37"/>
      <c r="G50" s="38"/>
    </row>
    <row r="51" spans="2:7" x14ac:dyDescent="0.2">
      <c r="C51" s="25" t="s">
        <v>0</v>
      </c>
      <c r="D51" s="2" t="s">
        <v>1</v>
      </c>
      <c r="E51" s="5" t="s">
        <v>2</v>
      </c>
      <c r="F51" s="5" t="s">
        <v>3</v>
      </c>
      <c r="G51" s="6" t="s">
        <v>4</v>
      </c>
    </row>
    <row r="52" spans="2:7" x14ac:dyDescent="0.2">
      <c r="C52" s="25"/>
      <c r="D52" s="2"/>
      <c r="E52" s="5"/>
      <c r="F52" s="5"/>
      <c r="G52" s="6" t="str">
        <f t="shared" ref="G52:G63" si="3">IF(ISBLANK(E52),"",(E52-F52-(E52*0.014+0.25)))</f>
        <v/>
      </c>
    </row>
    <row r="53" spans="2:7" x14ac:dyDescent="0.2">
      <c r="C53" s="25"/>
      <c r="D53" s="2"/>
      <c r="E53" s="5"/>
      <c r="F53" s="5"/>
      <c r="G53" s="6" t="str">
        <f t="shared" si="3"/>
        <v/>
      </c>
    </row>
    <row r="54" spans="2:7" x14ac:dyDescent="0.2">
      <c r="C54" s="25"/>
      <c r="D54" s="2"/>
      <c r="E54" s="5"/>
      <c r="F54" s="5"/>
      <c r="G54" s="6" t="str">
        <f t="shared" si="3"/>
        <v/>
      </c>
    </row>
    <row r="55" spans="2:7" x14ac:dyDescent="0.2">
      <c r="C55" s="25"/>
      <c r="D55" s="2"/>
      <c r="E55" s="5"/>
      <c r="F55" s="5"/>
      <c r="G55" s="6" t="str">
        <f t="shared" si="3"/>
        <v/>
      </c>
    </row>
    <row r="56" spans="2:7" x14ac:dyDescent="0.2">
      <c r="C56" s="25"/>
      <c r="D56" s="2"/>
      <c r="E56" s="5"/>
      <c r="F56" s="5"/>
      <c r="G56" s="6" t="str">
        <f t="shared" si="3"/>
        <v/>
      </c>
    </row>
    <row r="57" spans="2:7" x14ac:dyDescent="0.2">
      <c r="C57" s="25"/>
      <c r="D57" s="2"/>
      <c r="E57" s="5"/>
      <c r="F57" s="5"/>
      <c r="G57" s="6" t="str">
        <f t="shared" si="3"/>
        <v/>
      </c>
    </row>
    <row r="58" spans="2:7" x14ac:dyDescent="0.2">
      <c r="C58" s="25"/>
      <c r="D58" s="2"/>
      <c r="E58" s="5"/>
      <c r="F58" s="5"/>
      <c r="G58" s="6" t="str">
        <f t="shared" si="3"/>
        <v/>
      </c>
    </row>
    <row r="59" spans="2:7" x14ac:dyDescent="0.2">
      <c r="C59" s="25"/>
      <c r="D59" s="2"/>
      <c r="E59" s="5"/>
      <c r="F59" s="5"/>
      <c r="G59" s="6" t="str">
        <f t="shared" si="3"/>
        <v/>
      </c>
    </row>
    <row r="60" spans="2:7" x14ac:dyDescent="0.2">
      <c r="C60" s="25"/>
      <c r="D60" s="2"/>
      <c r="E60" s="5"/>
      <c r="F60" s="5"/>
      <c r="G60" s="6" t="str">
        <f t="shared" si="3"/>
        <v/>
      </c>
    </row>
    <row r="61" spans="2:7" x14ac:dyDescent="0.2">
      <c r="C61" s="25"/>
      <c r="D61" s="2"/>
      <c r="E61" s="5"/>
      <c r="F61" s="5"/>
      <c r="G61" s="6" t="str">
        <f t="shared" si="3"/>
        <v/>
      </c>
    </row>
    <row r="62" spans="2:7" x14ac:dyDescent="0.2">
      <c r="C62" s="25"/>
      <c r="D62" s="2"/>
      <c r="E62" s="5"/>
      <c r="F62" s="5"/>
      <c r="G62" s="6" t="str">
        <f t="shared" si="3"/>
        <v/>
      </c>
    </row>
    <row r="63" spans="2:7" x14ac:dyDescent="0.2">
      <c r="C63" s="25"/>
      <c r="D63" s="2"/>
      <c r="E63" s="5"/>
      <c r="F63" s="5"/>
      <c r="G63" s="6" t="str">
        <f t="shared" si="3"/>
        <v/>
      </c>
    </row>
    <row r="64" spans="2:7" x14ac:dyDescent="0.2">
      <c r="B64" s="13">
        <f>G64</f>
        <v>0</v>
      </c>
      <c r="C64" s="30"/>
      <c r="D64" s="22"/>
      <c r="E64" s="22"/>
      <c r="F64" s="23" t="s">
        <v>5</v>
      </c>
      <c r="G64" s="24">
        <f>SUM(G52:G63)</f>
        <v>0</v>
      </c>
    </row>
    <row r="65" spans="3:7" x14ac:dyDescent="0.2">
      <c r="C65" s="36">
        <f>C50+1</f>
        <v>44048</v>
      </c>
      <c r="D65" s="37"/>
      <c r="E65" s="37"/>
      <c r="F65" s="37"/>
      <c r="G65" s="38"/>
    </row>
    <row r="66" spans="3:7" x14ac:dyDescent="0.2">
      <c r="C66" s="25" t="s">
        <v>0</v>
      </c>
      <c r="D66" s="2" t="s">
        <v>1</v>
      </c>
      <c r="E66" s="5" t="s">
        <v>2</v>
      </c>
      <c r="F66" s="5" t="s">
        <v>3</v>
      </c>
      <c r="G66" s="6" t="s">
        <v>4</v>
      </c>
    </row>
    <row r="67" spans="3:7" x14ac:dyDescent="0.2">
      <c r="C67" s="25"/>
      <c r="D67" s="2"/>
      <c r="E67" s="5"/>
      <c r="F67" s="5"/>
      <c r="G67" s="6" t="str">
        <f t="shared" ref="G67:G80" si="4">IF(ISBLANK(E67),"",(E67-F67-(E67*0.014+0.25)))</f>
        <v/>
      </c>
    </row>
    <row r="68" spans="3:7" x14ac:dyDescent="0.2">
      <c r="C68" s="25"/>
      <c r="D68" s="2"/>
      <c r="E68" s="5"/>
      <c r="F68" s="5"/>
      <c r="G68" s="6" t="str">
        <f t="shared" si="4"/>
        <v/>
      </c>
    </row>
    <row r="69" spans="3:7" x14ac:dyDescent="0.2">
      <c r="C69" s="25"/>
      <c r="D69" s="2"/>
      <c r="E69" s="5"/>
      <c r="F69" s="5"/>
      <c r="G69" s="6" t="str">
        <f t="shared" si="4"/>
        <v/>
      </c>
    </row>
    <row r="70" spans="3:7" x14ac:dyDescent="0.2">
      <c r="C70" s="25"/>
      <c r="D70" s="2"/>
      <c r="E70" s="5"/>
      <c r="F70" s="5"/>
      <c r="G70" s="6" t="str">
        <f t="shared" si="4"/>
        <v/>
      </c>
    </row>
    <row r="71" spans="3:7" x14ac:dyDescent="0.2">
      <c r="C71" s="25"/>
      <c r="D71" s="2"/>
      <c r="E71" s="5"/>
      <c r="F71" s="5"/>
      <c r="G71" s="6" t="str">
        <f t="shared" si="4"/>
        <v/>
      </c>
    </row>
    <row r="72" spans="3:7" x14ac:dyDescent="0.2">
      <c r="C72" s="25"/>
      <c r="D72" s="2"/>
      <c r="E72" s="5"/>
      <c r="F72" s="5"/>
      <c r="G72" s="6" t="str">
        <f t="shared" si="4"/>
        <v/>
      </c>
    </row>
    <row r="73" spans="3:7" x14ac:dyDescent="0.2">
      <c r="C73" s="25"/>
      <c r="D73" s="2"/>
      <c r="E73" s="5"/>
      <c r="F73" s="5"/>
      <c r="G73" s="6" t="str">
        <f t="shared" si="4"/>
        <v/>
      </c>
    </row>
    <row r="74" spans="3:7" x14ac:dyDescent="0.2">
      <c r="C74" s="25"/>
      <c r="D74" s="2"/>
      <c r="E74" s="5"/>
      <c r="F74" s="5"/>
      <c r="G74" s="6" t="str">
        <f t="shared" si="4"/>
        <v/>
      </c>
    </row>
    <row r="75" spans="3:7" x14ac:dyDescent="0.2">
      <c r="C75" s="25"/>
      <c r="D75" s="2"/>
      <c r="E75" s="5"/>
      <c r="F75" s="5"/>
      <c r="G75" s="6" t="str">
        <f t="shared" si="4"/>
        <v/>
      </c>
    </row>
    <row r="76" spans="3:7" x14ac:dyDescent="0.2">
      <c r="C76" s="25"/>
      <c r="D76" s="2"/>
      <c r="E76" s="5"/>
      <c r="F76" s="5"/>
      <c r="G76" s="6" t="str">
        <f t="shared" si="4"/>
        <v/>
      </c>
    </row>
    <row r="77" spans="3:7" x14ac:dyDescent="0.2">
      <c r="C77" s="25"/>
      <c r="D77" s="2"/>
      <c r="E77" s="5"/>
      <c r="F77" s="5"/>
      <c r="G77" s="6" t="str">
        <f t="shared" si="4"/>
        <v/>
      </c>
    </row>
    <row r="78" spans="3:7" x14ac:dyDescent="0.2">
      <c r="C78" s="25"/>
      <c r="D78" s="2"/>
      <c r="E78" s="5"/>
      <c r="F78" s="5"/>
      <c r="G78" s="6" t="str">
        <f t="shared" si="4"/>
        <v/>
      </c>
    </row>
    <row r="79" spans="3:7" x14ac:dyDescent="0.2">
      <c r="C79" s="25"/>
      <c r="D79" s="2"/>
      <c r="E79" s="5"/>
      <c r="F79" s="5"/>
      <c r="G79" s="6" t="str">
        <f t="shared" si="4"/>
        <v/>
      </c>
    </row>
    <row r="80" spans="3:7" x14ac:dyDescent="0.2">
      <c r="C80" s="25"/>
      <c r="D80" s="2"/>
      <c r="E80" s="5"/>
      <c r="F80" s="5"/>
      <c r="G80" s="6" t="str">
        <f t="shared" si="4"/>
        <v/>
      </c>
    </row>
    <row r="81" spans="2:7" x14ac:dyDescent="0.2">
      <c r="B81" s="13">
        <f>G81</f>
        <v>0</v>
      </c>
      <c r="C81" s="30"/>
      <c r="D81" s="22"/>
      <c r="E81" s="22"/>
      <c r="F81" s="23" t="s">
        <v>5</v>
      </c>
      <c r="G81" s="24">
        <f>SUM(G67:G80)</f>
        <v>0</v>
      </c>
    </row>
    <row r="82" spans="2:7" x14ac:dyDescent="0.2">
      <c r="C82" s="36">
        <f>C65+1</f>
        <v>44049</v>
      </c>
      <c r="D82" s="37"/>
      <c r="E82" s="37"/>
      <c r="F82" s="37"/>
      <c r="G82" s="38"/>
    </row>
    <row r="83" spans="2:7" x14ac:dyDescent="0.2">
      <c r="C83" s="25" t="s">
        <v>0</v>
      </c>
      <c r="D83" s="2" t="s">
        <v>1</v>
      </c>
      <c r="E83" s="5" t="s">
        <v>2</v>
      </c>
      <c r="F83" s="5" t="s">
        <v>3</v>
      </c>
      <c r="G83" s="6" t="s">
        <v>4</v>
      </c>
    </row>
    <row r="84" spans="2:7" x14ac:dyDescent="0.2">
      <c r="C84" s="25"/>
      <c r="D84" s="2"/>
      <c r="E84" s="5"/>
      <c r="F84" s="5"/>
      <c r="G84" s="6" t="str">
        <f t="shared" ref="G84:G96" si="5">IF(ISBLANK(E84),"",(E84-F84-(E84*0.014+0.25)))</f>
        <v/>
      </c>
    </row>
    <row r="85" spans="2:7" x14ac:dyDescent="0.2">
      <c r="C85" s="25"/>
      <c r="D85" s="2"/>
      <c r="E85" s="5"/>
      <c r="F85" s="5"/>
      <c r="G85" s="6" t="str">
        <f t="shared" si="5"/>
        <v/>
      </c>
    </row>
    <row r="86" spans="2:7" x14ac:dyDescent="0.2">
      <c r="C86" s="25"/>
      <c r="D86" s="2"/>
      <c r="E86" s="5"/>
      <c r="F86" s="5"/>
      <c r="G86" s="6" t="str">
        <f t="shared" si="5"/>
        <v/>
      </c>
    </row>
    <row r="87" spans="2:7" x14ac:dyDescent="0.2">
      <c r="C87" s="25"/>
      <c r="D87" s="2"/>
      <c r="E87" s="5"/>
      <c r="F87" s="5"/>
      <c r="G87" s="6" t="str">
        <f t="shared" si="5"/>
        <v/>
      </c>
    </row>
    <row r="88" spans="2:7" x14ac:dyDescent="0.2">
      <c r="C88" s="25"/>
      <c r="D88" s="2"/>
      <c r="E88" s="5"/>
      <c r="F88" s="5"/>
      <c r="G88" s="6" t="str">
        <f t="shared" si="5"/>
        <v/>
      </c>
    </row>
    <row r="89" spans="2:7" x14ac:dyDescent="0.2">
      <c r="C89" s="25"/>
      <c r="D89" s="2"/>
      <c r="E89" s="5"/>
      <c r="F89" s="5"/>
      <c r="G89" s="6" t="str">
        <f t="shared" si="5"/>
        <v/>
      </c>
    </row>
    <row r="90" spans="2:7" x14ac:dyDescent="0.2">
      <c r="C90" s="25"/>
      <c r="D90" s="2"/>
      <c r="E90" s="5"/>
      <c r="F90" s="5"/>
      <c r="G90" s="6" t="str">
        <f t="shared" si="5"/>
        <v/>
      </c>
    </row>
    <row r="91" spans="2:7" x14ac:dyDescent="0.2">
      <c r="C91" s="25"/>
      <c r="D91" s="2"/>
      <c r="E91" s="5"/>
      <c r="F91" s="5"/>
      <c r="G91" s="6" t="str">
        <f t="shared" si="5"/>
        <v/>
      </c>
    </row>
    <row r="92" spans="2:7" x14ac:dyDescent="0.2">
      <c r="C92" s="25"/>
      <c r="D92" s="2"/>
      <c r="E92" s="5"/>
      <c r="F92" s="5"/>
      <c r="G92" s="6" t="str">
        <f t="shared" si="5"/>
        <v/>
      </c>
    </row>
    <row r="93" spans="2:7" x14ac:dyDescent="0.2">
      <c r="C93" s="25"/>
      <c r="D93" s="2"/>
      <c r="E93" s="5"/>
      <c r="F93" s="5"/>
      <c r="G93" s="6" t="str">
        <f t="shared" si="5"/>
        <v/>
      </c>
    </row>
    <row r="94" spans="2:7" x14ac:dyDescent="0.2">
      <c r="C94" s="25"/>
      <c r="D94" s="2"/>
      <c r="E94" s="5"/>
      <c r="F94" s="5"/>
      <c r="G94" s="6" t="str">
        <f t="shared" si="5"/>
        <v/>
      </c>
    </row>
    <row r="95" spans="2:7" x14ac:dyDescent="0.2">
      <c r="C95" s="25"/>
      <c r="D95" s="2"/>
      <c r="E95" s="5"/>
      <c r="F95" s="5"/>
      <c r="G95" s="6" t="str">
        <f t="shared" si="5"/>
        <v/>
      </c>
    </row>
    <row r="96" spans="2:7" x14ac:dyDescent="0.2">
      <c r="C96" s="25"/>
      <c r="D96" s="2"/>
      <c r="E96" s="5"/>
      <c r="F96" s="5"/>
      <c r="G96" s="6" t="str">
        <f t="shared" si="5"/>
        <v/>
      </c>
    </row>
    <row r="97" spans="2:7" x14ac:dyDescent="0.2">
      <c r="B97" s="13">
        <f>G97</f>
        <v>0</v>
      </c>
      <c r="C97" s="30"/>
      <c r="D97" s="22"/>
      <c r="E97" s="22"/>
      <c r="F97" s="23" t="s">
        <v>5</v>
      </c>
      <c r="G97" s="24">
        <f>SUM(G84:G96)</f>
        <v>0</v>
      </c>
    </row>
    <row r="98" spans="2:7" x14ac:dyDescent="0.2">
      <c r="C98" s="36">
        <f>C82+1</f>
        <v>44050</v>
      </c>
      <c r="D98" s="37"/>
      <c r="E98" s="37"/>
      <c r="F98" s="37"/>
      <c r="G98" s="38"/>
    </row>
    <row r="99" spans="2:7" x14ac:dyDescent="0.2">
      <c r="C99" s="25" t="s">
        <v>0</v>
      </c>
      <c r="D99" s="2" t="s">
        <v>1</v>
      </c>
      <c r="E99" s="5" t="s">
        <v>2</v>
      </c>
      <c r="F99" s="5" t="s">
        <v>3</v>
      </c>
      <c r="G99" s="6" t="s">
        <v>4</v>
      </c>
    </row>
    <row r="100" spans="2:7" x14ac:dyDescent="0.2">
      <c r="C100" s="25"/>
      <c r="D100" s="2"/>
      <c r="E100" s="5"/>
      <c r="F100" s="5"/>
      <c r="G100" s="6" t="str">
        <f t="shared" ref="G100:G112" si="6">IF(ISBLANK(E100),"",(E100-F100-(E100*0.014+0.25)))</f>
        <v/>
      </c>
    </row>
    <row r="101" spans="2:7" x14ac:dyDescent="0.2">
      <c r="C101" s="25"/>
      <c r="D101" s="2"/>
      <c r="E101" s="5"/>
      <c r="F101" s="5"/>
      <c r="G101" s="6" t="str">
        <f t="shared" si="6"/>
        <v/>
      </c>
    </row>
    <row r="102" spans="2:7" x14ac:dyDescent="0.2">
      <c r="C102" s="25"/>
      <c r="D102" s="2"/>
      <c r="E102" s="5"/>
      <c r="F102" s="5"/>
      <c r="G102" s="6" t="str">
        <f t="shared" si="6"/>
        <v/>
      </c>
    </row>
    <row r="103" spans="2:7" x14ac:dyDescent="0.2">
      <c r="C103" s="25"/>
      <c r="D103" s="2"/>
      <c r="E103" s="5"/>
      <c r="F103" s="5"/>
      <c r="G103" s="6" t="str">
        <f t="shared" si="6"/>
        <v/>
      </c>
    </row>
    <row r="104" spans="2:7" x14ac:dyDescent="0.2">
      <c r="C104" s="25"/>
      <c r="D104" s="2"/>
      <c r="E104" s="5"/>
      <c r="F104" s="5"/>
      <c r="G104" s="6" t="str">
        <f t="shared" si="6"/>
        <v/>
      </c>
    </row>
    <row r="105" spans="2:7" x14ac:dyDescent="0.2">
      <c r="C105" s="25"/>
      <c r="D105" s="2"/>
      <c r="E105" s="5"/>
      <c r="F105" s="5"/>
      <c r="G105" s="6" t="str">
        <f t="shared" si="6"/>
        <v/>
      </c>
    </row>
    <row r="106" spans="2:7" x14ac:dyDescent="0.2">
      <c r="C106" s="25"/>
      <c r="D106" s="2"/>
      <c r="E106" s="5"/>
      <c r="F106" s="5"/>
      <c r="G106" s="6" t="str">
        <f t="shared" si="6"/>
        <v/>
      </c>
    </row>
    <row r="107" spans="2:7" x14ac:dyDescent="0.2">
      <c r="C107" s="25"/>
      <c r="D107" s="2"/>
      <c r="E107" s="5"/>
      <c r="F107" s="5"/>
      <c r="G107" s="6" t="str">
        <f t="shared" si="6"/>
        <v/>
      </c>
    </row>
    <row r="108" spans="2:7" x14ac:dyDescent="0.2">
      <c r="C108" s="25"/>
      <c r="D108" s="2"/>
      <c r="E108" s="5"/>
      <c r="F108" s="5"/>
      <c r="G108" s="6" t="str">
        <f t="shared" si="6"/>
        <v/>
      </c>
    </row>
    <row r="109" spans="2:7" x14ac:dyDescent="0.2">
      <c r="C109" s="25"/>
      <c r="D109" s="2"/>
      <c r="E109" s="5"/>
      <c r="F109" s="5"/>
      <c r="G109" s="6" t="str">
        <f t="shared" si="6"/>
        <v/>
      </c>
    </row>
    <row r="110" spans="2:7" x14ac:dyDescent="0.2">
      <c r="C110" s="25"/>
      <c r="D110" s="2"/>
      <c r="E110" s="5"/>
      <c r="F110" s="5"/>
      <c r="G110" s="6" t="str">
        <f t="shared" si="6"/>
        <v/>
      </c>
    </row>
    <row r="111" spans="2:7" x14ac:dyDescent="0.2">
      <c r="C111" s="25"/>
      <c r="D111" s="2"/>
      <c r="E111" s="5"/>
      <c r="F111" s="5"/>
      <c r="G111" s="6" t="str">
        <f t="shared" si="6"/>
        <v/>
      </c>
    </row>
    <row r="112" spans="2:7" x14ac:dyDescent="0.2">
      <c r="C112" s="25"/>
      <c r="D112" s="2"/>
      <c r="E112" s="5"/>
      <c r="F112" s="5"/>
      <c r="G112" s="6" t="str">
        <f t="shared" si="6"/>
        <v/>
      </c>
    </row>
    <row r="113" spans="2:7" x14ac:dyDescent="0.2">
      <c r="B113" s="13">
        <f>G113</f>
        <v>0</v>
      </c>
      <c r="C113" s="30"/>
      <c r="D113" s="22"/>
      <c r="E113" s="22"/>
      <c r="F113" s="23" t="s">
        <v>5</v>
      </c>
      <c r="G113" s="24">
        <f>SUM(G100:G112)</f>
        <v>0</v>
      </c>
    </row>
    <row r="114" spans="2:7" x14ac:dyDescent="0.2">
      <c r="C114" s="36">
        <f>C98+1</f>
        <v>44051</v>
      </c>
      <c r="D114" s="37"/>
      <c r="E114" s="37"/>
      <c r="F114" s="37"/>
      <c r="G114" s="38"/>
    </row>
    <row r="115" spans="2:7" x14ac:dyDescent="0.2">
      <c r="C115" s="25" t="s">
        <v>0</v>
      </c>
      <c r="D115" s="2" t="s">
        <v>1</v>
      </c>
      <c r="E115" s="5" t="s">
        <v>2</v>
      </c>
      <c r="F115" s="5" t="s">
        <v>3</v>
      </c>
      <c r="G115" s="6" t="s">
        <v>4</v>
      </c>
    </row>
    <row r="116" spans="2:7" x14ac:dyDescent="0.2">
      <c r="C116" s="25"/>
      <c r="D116" s="2"/>
      <c r="E116" s="5"/>
      <c r="F116" s="5"/>
      <c r="G116" s="6" t="str">
        <f t="shared" ref="G116:G128" si="7">IF(ISBLANK(E116),"",(E116-F116-(E116*0.014+0.25)))</f>
        <v/>
      </c>
    </row>
    <row r="117" spans="2:7" x14ac:dyDescent="0.2">
      <c r="C117" s="25"/>
      <c r="D117" s="2"/>
      <c r="E117" s="5"/>
      <c r="F117" s="5"/>
      <c r="G117" s="6" t="str">
        <f t="shared" si="7"/>
        <v/>
      </c>
    </row>
    <row r="118" spans="2:7" x14ac:dyDescent="0.2">
      <c r="C118" s="25"/>
      <c r="D118" s="2"/>
      <c r="E118" s="5"/>
      <c r="F118" s="5"/>
      <c r="G118" s="6" t="str">
        <f t="shared" si="7"/>
        <v/>
      </c>
    </row>
    <row r="119" spans="2:7" x14ac:dyDescent="0.2">
      <c r="C119" s="25"/>
      <c r="D119" s="2"/>
      <c r="E119" s="5"/>
      <c r="F119" s="5"/>
      <c r="G119" s="6" t="str">
        <f t="shared" si="7"/>
        <v/>
      </c>
    </row>
    <row r="120" spans="2:7" x14ac:dyDescent="0.2">
      <c r="C120" s="25"/>
      <c r="D120" s="2"/>
      <c r="E120" s="5"/>
      <c r="F120" s="5"/>
      <c r="G120" s="6" t="str">
        <f t="shared" si="7"/>
        <v/>
      </c>
    </row>
    <row r="121" spans="2:7" x14ac:dyDescent="0.2">
      <c r="C121" s="25"/>
      <c r="D121" s="2"/>
      <c r="E121" s="5"/>
      <c r="F121" s="5"/>
      <c r="G121" s="6" t="str">
        <f t="shared" si="7"/>
        <v/>
      </c>
    </row>
    <row r="122" spans="2:7" x14ac:dyDescent="0.2">
      <c r="C122" s="25"/>
      <c r="D122" s="2"/>
      <c r="E122" s="5"/>
      <c r="F122" s="5"/>
      <c r="G122" s="6" t="str">
        <f t="shared" si="7"/>
        <v/>
      </c>
    </row>
    <row r="123" spans="2:7" x14ac:dyDescent="0.2">
      <c r="C123" s="25"/>
      <c r="D123" s="2"/>
      <c r="E123" s="5"/>
      <c r="F123" s="5"/>
      <c r="G123" s="6" t="str">
        <f t="shared" si="7"/>
        <v/>
      </c>
    </row>
    <row r="124" spans="2:7" x14ac:dyDescent="0.2">
      <c r="C124" s="25"/>
      <c r="D124" s="2"/>
      <c r="E124" s="5"/>
      <c r="F124" s="5"/>
      <c r="G124" s="6" t="str">
        <f t="shared" si="7"/>
        <v/>
      </c>
    </row>
    <row r="125" spans="2:7" x14ac:dyDescent="0.2">
      <c r="C125" s="25"/>
      <c r="D125" s="2"/>
      <c r="E125" s="5"/>
      <c r="F125" s="5"/>
      <c r="G125" s="6" t="str">
        <f t="shared" si="7"/>
        <v/>
      </c>
    </row>
    <row r="126" spans="2:7" x14ac:dyDescent="0.2">
      <c r="C126" s="25"/>
      <c r="D126" s="2"/>
      <c r="E126" s="5"/>
      <c r="F126" s="5"/>
      <c r="G126" s="6" t="str">
        <f t="shared" si="7"/>
        <v/>
      </c>
    </row>
    <row r="127" spans="2:7" x14ac:dyDescent="0.2">
      <c r="C127" s="25"/>
      <c r="D127" s="2"/>
      <c r="E127" s="5"/>
      <c r="F127" s="5"/>
      <c r="G127" s="6" t="str">
        <f t="shared" si="7"/>
        <v/>
      </c>
    </row>
    <row r="128" spans="2:7" x14ac:dyDescent="0.2">
      <c r="C128" s="25"/>
      <c r="D128" s="2"/>
      <c r="E128" s="5"/>
      <c r="F128" s="5"/>
      <c r="G128" s="6" t="str">
        <f t="shared" si="7"/>
        <v/>
      </c>
    </row>
    <row r="129" spans="2:7" x14ac:dyDescent="0.2">
      <c r="B129" s="13">
        <f>G129</f>
        <v>0</v>
      </c>
      <c r="C129" s="30"/>
      <c r="D129" s="22"/>
      <c r="E129" s="22"/>
      <c r="F129" s="23" t="s">
        <v>5</v>
      </c>
      <c r="G129" s="24">
        <f>SUM(G116:G128)</f>
        <v>0</v>
      </c>
    </row>
    <row r="130" spans="2:7" x14ac:dyDescent="0.2">
      <c r="C130" s="36">
        <f>C114+1</f>
        <v>44052</v>
      </c>
      <c r="D130" s="37"/>
      <c r="E130" s="37"/>
      <c r="F130" s="37"/>
      <c r="G130" s="38"/>
    </row>
    <row r="131" spans="2:7" x14ac:dyDescent="0.2">
      <c r="C131" s="25" t="s">
        <v>0</v>
      </c>
      <c r="D131" s="2" t="s">
        <v>1</v>
      </c>
      <c r="E131" s="5" t="s">
        <v>2</v>
      </c>
      <c r="F131" s="5" t="s">
        <v>3</v>
      </c>
      <c r="G131" s="6" t="s">
        <v>4</v>
      </c>
    </row>
    <row r="132" spans="2:7" x14ac:dyDescent="0.2">
      <c r="C132" s="25"/>
      <c r="D132" s="2"/>
      <c r="E132" s="5"/>
      <c r="F132" s="5"/>
      <c r="G132" s="6" t="str">
        <f t="shared" ref="G132:G142" si="8">IF(ISBLANK(E132),"",(E132-F132-(E132*0.014+0.25)))</f>
        <v/>
      </c>
    </row>
    <row r="133" spans="2:7" x14ac:dyDescent="0.2">
      <c r="C133" s="25"/>
      <c r="D133" s="2"/>
      <c r="E133" s="5"/>
      <c r="F133" s="5"/>
      <c r="G133" s="6" t="str">
        <f t="shared" si="8"/>
        <v/>
      </c>
    </row>
    <row r="134" spans="2:7" x14ac:dyDescent="0.2">
      <c r="C134" s="25"/>
      <c r="D134" s="2"/>
      <c r="E134" s="5"/>
      <c r="F134" s="5"/>
      <c r="G134" s="6" t="str">
        <f t="shared" si="8"/>
        <v/>
      </c>
    </row>
    <row r="135" spans="2:7" x14ac:dyDescent="0.2">
      <c r="C135" s="25"/>
      <c r="D135" s="2"/>
      <c r="E135" s="5"/>
      <c r="F135" s="5"/>
      <c r="G135" s="6" t="str">
        <f t="shared" si="8"/>
        <v/>
      </c>
    </row>
    <row r="136" spans="2:7" x14ac:dyDescent="0.2">
      <c r="C136" s="25"/>
      <c r="D136" s="2"/>
      <c r="E136" s="5"/>
      <c r="F136" s="5"/>
      <c r="G136" s="6" t="str">
        <f t="shared" si="8"/>
        <v/>
      </c>
    </row>
    <row r="137" spans="2:7" x14ac:dyDescent="0.2">
      <c r="C137" s="25"/>
      <c r="D137" s="2"/>
      <c r="E137" s="5"/>
      <c r="F137" s="5"/>
      <c r="G137" s="6" t="str">
        <f t="shared" si="8"/>
        <v/>
      </c>
    </row>
    <row r="138" spans="2:7" x14ac:dyDescent="0.2">
      <c r="C138" s="25"/>
      <c r="D138" s="2"/>
      <c r="E138" s="5"/>
      <c r="F138" s="5"/>
      <c r="G138" s="6" t="str">
        <f t="shared" si="8"/>
        <v/>
      </c>
    </row>
    <row r="139" spans="2:7" x14ac:dyDescent="0.2">
      <c r="C139" s="25"/>
      <c r="D139" s="2"/>
      <c r="E139" s="5"/>
      <c r="F139" s="5"/>
      <c r="G139" s="6" t="str">
        <f t="shared" si="8"/>
        <v/>
      </c>
    </row>
    <row r="140" spans="2:7" x14ac:dyDescent="0.2">
      <c r="C140" s="25"/>
      <c r="D140" s="2"/>
      <c r="E140" s="5"/>
      <c r="F140" s="5"/>
      <c r="G140" s="6" t="str">
        <f t="shared" si="8"/>
        <v/>
      </c>
    </row>
    <row r="141" spans="2:7" x14ac:dyDescent="0.2">
      <c r="C141" s="25"/>
      <c r="D141" s="2"/>
      <c r="E141" s="5"/>
      <c r="F141" s="5"/>
      <c r="G141" s="6" t="str">
        <f t="shared" si="8"/>
        <v/>
      </c>
    </row>
    <row r="142" spans="2:7" x14ac:dyDescent="0.2">
      <c r="C142" s="25"/>
      <c r="D142" s="2"/>
      <c r="E142" s="5"/>
      <c r="F142" s="5"/>
      <c r="G142" s="6" t="str">
        <f t="shared" si="8"/>
        <v/>
      </c>
    </row>
    <row r="143" spans="2:7" x14ac:dyDescent="0.2">
      <c r="B143" s="13">
        <f>G143</f>
        <v>0</v>
      </c>
      <c r="C143" s="30"/>
      <c r="D143" s="22"/>
      <c r="E143" s="22"/>
      <c r="F143" s="23" t="s">
        <v>5</v>
      </c>
      <c r="G143" s="24">
        <f>SUM(G132:G142)</f>
        <v>0</v>
      </c>
    </row>
    <row r="144" spans="2:7" x14ac:dyDescent="0.2">
      <c r="C144" s="36">
        <f>C130+1</f>
        <v>44053</v>
      </c>
      <c r="D144" s="37"/>
      <c r="E144" s="37"/>
      <c r="F144" s="37"/>
      <c r="G144" s="38"/>
    </row>
    <row r="145" spans="2:7" x14ac:dyDescent="0.2">
      <c r="C145" s="25" t="s">
        <v>0</v>
      </c>
      <c r="D145" s="2" t="s">
        <v>1</v>
      </c>
      <c r="E145" s="5" t="s">
        <v>2</v>
      </c>
      <c r="F145" s="5" t="s">
        <v>3</v>
      </c>
      <c r="G145" s="6" t="s">
        <v>4</v>
      </c>
    </row>
    <row r="146" spans="2:7" x14ac:dyDescent="0.2">
      <c r="C146" s="25"/>
      <c r="D146" s="2"/>
      <c r="E146" s="5"/>
      <c r="F146" s="5"/>
      <c r="G146" s="6" t="str">
        <f t="shared" ref="G146:G156" si="9">IF(ISBLANK(E146),"",(E146-F146-(E146*0.014+0.25)))</f>
        <v/>
      </c>
    </row>
    <row r="147" spans="2:7" x14ac:dyDescent="0.2">
      <c r="C147" s="25"/>
      <c r="D147" s="2"/>
      <c r="E147" s="5"/>
      <c r="F147" s="5"/>
      <c r="G147" s="6" t="str">
        <f t="shared" si="9"/>
        <v/>
      </c>
    </row>
    <row r="148" spans="2:7" x14ac:dyDescent="0.2">
      <c r="C148" s="25"/>
      <c r="D148" s="2"/>
      <c r="E148" s="5"/>
      <c r="F148" s="5"/>
      <c r="G148" s="6" t="str">
        <f t="shared" si="9"/>
        <v/>
      </c>
    </row>
    <row r="149" spans="2:7" x14ac:dyDescent="0.2">
      <c r="C149" s="25"/>
      <c r="D149" s="2"/>
      <c r="E149" s="5"/>
      <c r="F149" s="5"/>
      <c r="G149" s="6" t="str">
        <f t="shared" si="9"/>
        <v/>
      </c>
    </row>
    <row r="150" spans="2:7" x14ac:dyDescent="0.2">
      <c r="C150" s="25"/>
      <c r="D150" s="2"/>
      <c r="E150" s="5"/>
      <c r="F150" s="5"/>
      <c r="G150" s="6" t="str">
        <f t="shared" si="9"/>
        <v/>
      </c>
    </row>
    <row r="151" spans="2:7" x14ac:dyDescent="0.2">
      <c r="C151" s="25"/>
      <c r="D151" s="2"/>
      <c r="E151" s="5"/>
      <c r="F151" s="5"/>
      <c r="G151" s="6" t="str">
        <f t="shared" si="9"/>
        <v/>
      </c>
    </row>
    <row r="152" spans="2:7" x14ac:dyDescent="0.2">
      <c r="C152" s="25"/>
      <c r="D152" s="2"/>
      <c r="E152" s="5"/>
      <c r="F152" s="5"/>
      <c r="G152" s="6" t="str">
        <f t="shared" si="9"/>
        <v/>
      </c>
    </row>
    <row r="153" spans="2:7" x14ac:dyDescent="0.2">
      <c r="C153" s="25"/>
      <c r="D153" s="2"/>
      <c r="E153" s="5"/>
      <c r="F153" s="5"/>
      <c r="G153" s="6" t="str">
        <f t="shared" si="9"/>
        <v/>
      </c>
    </row>
    <row r="154" spans="2:7" x14ac:dyDescent="0.2">
      <c r="C154" s="25"/>
      <c r="D154" s="2"/>
      <c r="E154" s="5"/>
      <c r="F154" s="5"/>
      <c r="G154" s="6" t="str">
        <f t="shared" si="9"/>
        <v/>
      </c>
    </row>
    <row r="155" spans="2:7" x14ac:dyDescent="0.2">
      <c r="C155" s="25"/>
      <c r="D155" s="2"/>
      <c r="E155" s="5"/>
      <c r="F155" s="5"/>
      <c r="G155" s="6" t="str">
        <f t="shared" si="9"/>
        <v/>
      </c>
    </row>
    <row r="156" spans="2:7" x14ac:dyDescent="0.2">
      <c r="C156" s="25"/>
      <c r="D156" s="2"/>
      <c r="E156" s="5"/>
      <c r="F156" s="5"/>
      <c r="G156" s="6" t="str">
        <f t="shared" si="9"/>
        <v/>
      </c>
    </row>
    <row r="157" spans="2:7" x14ac:dyDescent="0.2">
      <c r="B157" s="13">
        <f>G157</f>
        <v>0</v>
      </c>
      <c r="C157" s="30"/>
      <c r="D157" s="22"/>
      <c r="E157" s="22"/>
      <c r="F157" s="23" t="s">
        <v>5</v>
      </c>
      <c r="G157" s="24">
        <f>SUM(G146:G156)</f>
        <v>0</v>
      </c>
    </row>
    <row r="158" spans="2:7" x14ac:dyDescent="0.2">
      <c r="C158" s="36">
        <f>C144+1</f>
        <v>44054</v>
      </c>
      <c r="D158" s="37"/>
      <c r="E158" s="37"/>
      <c r="F158" s="37"/>
      <c r="G158" s="38"/>
    </row>
    <row r="159" spans="2:7" x14ac:dyDescent="0.2">
      <c r="C159" s="25" t="s">
        <v>0</v>
      </c>
      <c r="D159" s="2" t="s">
        <v>1</v>
      </c>
      <c r="E159" s="5" t="s">
        <v>2</v>
      </c>
      <c r="F159" s="5" t="s">
        <v>3</v>
      </c>
      <c r="G159" s="6" t="s">
        <v>4</v>
      </c>
    </row>
    <row r="160" spans="2:7" x14ac:dyDescent="0.2">
      <c r="C160" s="25"/>
      <c r="D160" s="2"/>
      <c r="E160" s="5"/>
      <c r="F160" s="5"/>
      <c r="G160" s="6" t="str">
        <f t="shared" ref="G160:G172" si="10">IF(ISBLANK(E160),"",(E160-F160-(E160*0.014+0.25)))</f>
        <v/>
      </c>
    </row>
    <row r="161" spans="2:7" x14ac:dyDescent="0.2">
      <c r="C161" s="25"/>
      <c r="D161" s="2"/>
      <c r="E161" s="5"/>
      <c r="F161" s="5"/>
      <c r="G161" s="6" t="str">
        <f t="shared" si="10"/>
        <v/>
      </c>
    </row>
    <row r="162" spans="2:7" x14ac:dyDescent="0.2">
      <c r="C162" s="25"/>
      <c r="D162" s="2"/>
      <c r="E162" s="5"/>
      <c r="F162" s="5"/>
      <c r="G162" s="6" t="str">
        <f t="shared" si="10"/>
        <v/>
      </c>
    </row>
    <row r="163" spans="2:7" x14ac:dyDescent="0.2">
      <c r="C163" s="25"/>
      <c r="D163" s="2"/>
      <c r="E163" s="5"/>
      <c r="F163" s="5"/>
      <c r="G163" s="6" t="str">
        <f t="shared" si="10"/>
        <v/>
      </c>
    </row>
    <row r="164" spans="2:7" x14ac:dyDescent="0.2">
      <c r="C164" s="25"/>
      <c r="D164" s="2"/>
      <c r="E164" s="5"/>
      <c r="F164" s="5"/>
      <c r="G164" s="6" t="str">
        <f t="shared" si="10"/>
        <v/>
      </c>
    </row>
    <row r="165" spans="2:7" x14ac:dyDescent="0.2">
      <c r="C165" s="25"/>
      <c r="D165" s="2"/>
      <c r="E165" s="5"/>
      <c r="F165" s="5"/>
      <c r="G165" s="6" t="str">
        <f t="shared" si="10"/>
        <v/>
      </c>
    </row>
    <row r="166" spans="2:7" x14ac:dyDescent="0.2">
      <c r="C166" s="25"/>
      <c r="D166" s="2"/>
      <c r="E166" s="5"/>
      <c r="F166" s="5"/>
      <c r="G166" s="6" t="str">
        <f t="shared" si="10"/>
        <v/>
      </c>
    </row>
    <row r="167" spans="2:7" x14ac:dyDescent="0.2">
      <c r="C167" s="25"/>
      <c r="D167" s="2"/>
      <c r="E167" s="5"/>
      <c r="F167" s="5"/>
      <c r="G167" s="6" t="str">
        <f t="shared" si="10"/>
        <v/>
      </c>
    </row>
    <row r="168" spans="2:7" x14ac:dyDescent="0.2">
      <c r="C168" s="25"/>
      <c r="D168" s="2"/>
      <c r="E168" s="5"/>
      <c r="F168" s="5"/>
      <c r="G168" s="6" t="str">
        <f t="shared" si="10"/>
        <v/>
      </c>
    </row>
    <row r="169" spans="2:7" x14ac:dyDescent="0.2">
      <c r="C169" s="25"/>
      <c r="D169" s="2"/>
      <c r="E169" s="5"/>
      <c r="F169" s="5"/>
      <c r="G169" s="6" t="str">
        <f t="shared" si="10"/>
        <v/>
      </c>
    </row>
    <row r="170" spans="2:7" x14ac:dyDescent="0.2">
      <c r="C170" s="25"/>
      <c r="D170" s="2"/>
      <c r="E170" s="5"/>
      <c r="F170" s="5"/>
      <c r="G170" s="6" t="str">
        <f t="shared" si="10"/>
        <v/>
      </c>
    </row>
    <row r="171" spans="2:7" x14ac:dyDescent="0.2">
      <c r="C171" s="25"/>
      <c r="D171" s="2"/>
      <c r="E171" s="5"/>
      <c r="F171" s="5"/>
      <c r="G171" s="6" t="str">
        <f t="shared" si="10"/>
        <v/>
      </c>
    </row>
    <row r="172" spans="2:7" x14ac:dyDescent="0.2">
      <c r="C172" s="25"/>
      <c r="D172" s="2"/>
      <c r="E172" s="5"/>
      <c r="F172" s="5"/>
      <c r="G172" s="6" t="str">
        <f t="shared" si="10"/>
        <v/>
      </c>
    </row>
    <row r="173" spans="2:7" x14ac:dyDescent="0.2">
      <c r="B173" s="13">
        <f>G173</f>
        <v>0</v>
      </c>
      <c r="C173" s="30"/>
      <c r="D173" s="22"/>
      <c r="E173" s="22"/>
      <c r="F173" s="23" t="s">
        <v>5</v>
      </c>
      <c r="G173" s="24">
        <f>SUM(G160:G172)</f>
        <v>0</v>
      </c>
    </row>
    <row r="174" spans="2:7" x14ac:dyDescent="0.2">
      <c r="C174" s="36">
        <f>C158+1</f>
        <v>44055</v>
      </c>
      <c r="D174" s="37"/>
      <c r="E174" s="37"/>
      <c r="F174" s="37"/>
      <c r="G174" s="38"/>
    </row>
    <row r="175" spans="2:7" x14ac:dyDescent="0.2">
      <c r="C175" s="25" t="s">
        <v>0</v>
      </c>
      <c r="D175" s="2" t="s">
        <v>1</v>
      </c>
      <c r="E175" s="5" t="s">
        <v>2</v>
      </c>
      <c r="F175" s="5" t="s">
        <v>3</v>
      </c>
      <c r="G175" s="6" t="s">
        <v>4</v>
      </c>
    </row>
    <row r="176" spans="2:7" x14ac:dyDescent="0.2">
      <c r="C176" s="25"/>
      <c r="D176" s="2"/>
      <c r="E176" s="5"/>
      <c r="F176" s="5"/>
      <c r="G176" s="6" t="str">
        <f t="shared" ref="G176:G185" si="11">IF(ISBLANK(E176),"",(E176-F176-(E176*0.014+0.25)))</f>
        <v/>
      </c>
    </row>
    <row r="177" spans="2:7" x14ac:dyDescent="0.2">
      <c r="C177" s="25"/>
      <c r="D177" s="2"/>
      <c r="E177" s="5"/>
      <c r="F177" s="5"/>
      <c r="G177" s="6" t="str">
        <f t="shared" si="11"/>
        <v/>
      </c>
    </row>
    <row r="178" spans="2:7" x14ac:dyDescent="0.2">
      <c r="C178" s="25"/>
      <c r="D178" s="2"/>
      <c r="E178" s="5"/>
      <c r="F178" s="5"/>
      <c r="G178" s="6" t="str">
        <f t="shared" si="11"/>
        <v/>
      </c>
    </row>
    <row r="179" spans="2:7" x14ac:dyDescent="0.2">
      <c r="C179" s="25"/>
      <c r="D179" s="2"/>
      <c r="E179" s="5"/>
      <c r="F179" s="5"/>
      <c r="G179" s="6" t="str">
        <f t="shared" si="11"/>
        <v/>
      </c>
    </row>
    <row r="180" spans="2:7" x14ac:dyDescent="0.2">
      <c r="C180" s="25"/>
      <c r="D180" s="2"/>
      <c r="E180" s="5"/>
      <c r="F180" s="5"/>
      <c r="G180" s="6" t="str">
        <f t="shared" si="11"/>
        <v/>
      </c>
    </row>
    <row r="181" spans="2:7" x14ac:dyDescent="0.2">
      <c r="C181" s="25"/>
      <c r="D181" s="2"/>
      <c r="E181" s="5"/>
      <c r="F181" s="5"/>
      <c r="G181" s="6" t="str">
        <f t="shared" si="11"/>
        <v/>
      </c>
    </row>
    <row r="182" spans="2:7" x14ac:dyDescent="0.2">
      <c r="C182" s="25"/>
      <c r="D182" s="2"/>
      <c r="E182" s="5"/>
      <c r="F182" s="5"/>
      <c r="G182" s="6" t="str">
        <f t="shared" si="11"/>
        <v/>
      </c>
    </row>
    <row r="183" spans="2:7" x14ac:dyDescent="0.2">
      <c r="C183" s="25"/>
      <c r="D183" s="2"/>
      <c r="E183" s="5"/>
      <c r="F183" s="5"/>
      <c r="G183" s="6" t="str">
        <f t="shared" si="11"/>
        <v/>
      </c>
    </row>
    <row r="184" spans="2:7" x14ac:dyDescent="0.2">
      <c r="C184" s="25"/>
      <c r="D184" s="2"/>
      <c r="E184" s="5"/>
      <c r="F184" s="5"/>
      <c r="G184" s="6" t="str">
        <f t="shared" si="11"/>
        <v/>
      </c>
    </row>
    <row r="185" spans="2:7" x14ac:dyDescent="0.2">
      <c r="C185" s="25"/>
      <c r="D185" s="2"/>
      <c r="E185" s="5"/>
      <c r="F185" s="5"/>
      <c r="G185" s="6" t="str">
        <f t="shared" si="11"/>
        <v/>
      </c>
    </row>
    <row r="186" spans="2:7" x14ac:dyDescent="0.2">
      <c r="B186" s="13">
        <f>G186</f>
        <v>0</v>
      </c>
      <c r="C186" s="30"/>
      <c r="D186" s="22"/>
      <c r="E186" s="22"/>
      <c r="F186" s="23" t="s">
        <v>5</v>
      </c>
      <c r="G186" s="24">
        <f>SUM(G176:G185)</f>
        <v>0</v>
      </c>
    </row>
    <row r="187" spans="2:7" x14ac:dyDescent="0.2">
      <c r="C187" s="36">
        <f>C174+1</f>
        <v>44056</v>
      </c>
      <c r="D187" s="37"/>
      <c r="E187" s="37"/>
      <c r="F187" s="37"/>
      <c r="G187" s="38"/>
    </row>
    <row r="188" spans="2:7" x14ac:dyDescent="0.2">
      <c r="C188" s="25" t="s">
        <v>0</v>
      </c>
      <c r="D188" s="2" t="s">
        <v>1</v>
      </c>
      <c r="E188" s="5" t="s">
        <v>2</v>
      </c>
      <c r="F188" s="5" t="s">
        <v>3</v>
      </c>
      <c r="G188" s="6" t="s">
        <v>4</v>
      </c>
    </row>
    <row r="189" spans="2:7" x14ac:dyDescent="0.2">
      <c r="C189" s="25"/>
      <c r="D189" s="2"/>
      <c r="E189" s="5"/>
      <c r="F189" s="5"/>
      <c r="G189" s="6" t="str">
        <f t="shared" ref="G189:G198" si="12">IF(ISBLANK(E189),"",(E189-F189-(E189*0.014+0.25)))</f>
        <v/>
      </c>
    </row>
    <row r="190" spans="2:7" x14ac:dyDescent="0.2">
      <c r="C190" s="25"/>
      <c r="D190" s="2"/>
      <c r="E190" s="5"/>
      <c r="F190" s="5"/>
      <c r="G190" s="6" t="str">
        <f t="shared" si="12"/>
        <v/>
      </c>
    </row>
    <row r="191" spans="2:7" x14ac:dyDescent="0.2">
      <c r="C191" s="25"/>
      <c r="D191" s="2"/>
      <c r="E191" s="5"/>
      <c r="F191" s="5"/>
      <c r="G191" s="6" t="str">
        <f t="shared" si="12"/>
        <v/>
      </c>
    </row>
    <row r="192" spans="2:7" x14ac:dyDescent="0.2">
      <c r="C192" s="25"/>
      <c r="D192" s="2"/>
      <c r="E192" s="5"/>
      <c r="F192" s="5"/>
      <c r="G192" s="6" t="str">
        <f t="shared" si="12"/>
        <v/>
      </c>
    </row>
    <row r="193" spans="2:7" x14ac:dyDescent="0.2">
      <c r="C193" s="25"/>
      <c r="D193" s="2"/>
      <c r="E193" s="5"/>
      <c r="F193" s="5"/>
      <c r="G193" s="6" t="str">
        <f t="shared" si="12"/>
        <v/>
      </c>
    </row>
    <row r="194" spans="2:7" x14ac:dyDescent="0.2">
      <c r="C194" s="25"/>
      <c r="D194" s="2"/>
      <c r="E194" s="5"/>
      <c r="F194" s="5"/>
      <c r="G194" s="6" t="str">
        <f t="shared" si="12"/>
        <v/>
      </c>
    </row>
    <row r="195" spans="2:7" x14ac:dyDescent="0.2">
      <c r="C195" s="25"/>
      <c r="D195" s="2"/>
      <c r="E195" s="5"/>
      <c r="F195" s="5"/>
      <c r="G195" s="6" t="str">
        <f t="shared" si="12"/>
        <v/>
      </c>
    </row>
    <row r="196" spans="2:7" x14ac:dyDescent="0.2">
      <c r="C196" s="25"/>
      <c r="D196" s="2"/>
      <c r="E196" s="5"/>
      <c r="F196" s="5"/>
      <c r="G196" s="6" t="str">
        <f t="shared" si="12"/>
        <v/>
      </c>
    </row>
    <row r="197" spans="2:7" x14ac:dyDescent="0.2">
      <c r="C197" s="25"/>
      <c r="D197" s="2"/>
      <c r="E197" s="5"/>
      <c r="F197" s="5"/>
      <c r="G197" s="6" t="str">
        <f t="shared" si="12"/>
        <v/>
      </c>
    </row>
    <row r="198" spans="2:7" x14ac:dyDescent="0.2">
      <c r="C198" s="25"/>
      <c r="D198" s="2"/>
      <c r="E198" s="5"/>
      <c r="F198" s="5"/>
      <c r="G198" s="6" t="str">
        <f t="shared" si="12"/>
        <v/>
      </c>
    </row>
    <row r="199" spans="2:7" x14ac:dyDescent="0.2">
      <c r="B199" s="13">
        <f>G199</f>
        <v>0</v>
      </c>
      <c r="C199" s="30"/>
      <c r="D199" s="22"/>
      <c r="E199" s="22"/>
      <c r="F199" s="23" t="s">
        <v>5</v>
      </c>
      <c r="G199" s="24">
        <f>SUM(G189:G198)</f>
        <v>0</v>
      </c>
    </row>
    <row r="200" spans="2:7" x14ac:dyDescent="0.2">
      <c r="C200" s="36">
        <f>C187+1</f>
        <v>44057</v>
      </c>
      <c r="D200" s="37"/>
      <c r="E200" s="37"/>
      <c r="F200" s="37"/>
      <c r="G200" s="38"/>
    </row>
    <row r="201" spans="2:7" x14ac:dyDescent="0.2">
      <c r="C201" s="25" t="s">
        <v>0</v>
      </c>
      <c r="D201" s="2" t="s">
        <v>1</v>
      </c>
      <c r="E201" s="5" t="s">
        <v>2</v>
      </c>
      <c r="F201" s="5" t="s">
        <v>3</v>
      </c>
      <c r="G201" s="6" t="s">
        <v>4</v>
      </c>
    </row>
    <row r="202" spans="2:7" x14ac:dyDescent="0.2">
      <c r="C202" s="25"/>
      <c r="D202" s="2"/>
      <c r="E202" s="5"/>
      <c r="F202" s="5"/>
      <c r="G202" s="6" t="str">
        <f t="shared" ref="G202:G215" si="13">IF(ISBLANK(E202),"",(E202-F202-(E202*0.014+0.25)))</f>
        <v/>
      </c>
    </row>
    <row r="203" spans="2:7" x14ac:dyDescent="0.2">
      <c r="C203" s="25"/>
      <c r="D203" s="2"/>
      <c r="E203" s="5"/>
      <c r="F203" s="5"/>
      <c r="G203" s="6" t="str">
        <f t="shared" si="13"/>
        <v/>
      </c>
    </row>
    <row r="204" spans="2:7" x14ac:dyDescent="0.2">
      <c r="C204" s="25"/>
      <c r="D204" s="2"/>
      <c r="E204" s="5"/>
      <c r="F204" s="5"/>
      <c r="G204" s="6" t="str">
        <f t="shared" si="13"/>
        <v/>
      </c>
    </row>
    <row r="205" spans="2:7" x14ac:dyDescent="0.2">
      <c r="C205" s="25"/>
      <c r="D205" s="2"/>
      <c r="E205" s="5"/>
      <c r="F205" s="5"/>
      <c r="G205" s="6" t="str">
        <f t="shared" si="13"/>
        <v/>
      </c>
    </row>
    <row r="206" spans="2:7" x14ac:dyDescent="0.2">
      <c r="C206" s="25"/>
      <c r="D206" s="2"/>
      <c r="E206" s="5"/>
      <c r="F206" s="5"/>
      <c r="G206" s="6" t="str">
        <f t="shared" si="13"/>
        <v/>
      </c>
    </row>
    <row r="207" spans="2:7" x14ac:dyDescent="0.2">
      <c r="C207" s="25"/>
      <c r="D207" s="2"/>
      <c r="E207" s="5"/>
      <c r="F207" s="5"/>
      <c r="G207" s="6" t="str">
        <f t="shared" si="13"/>
        <v/>
      </c>
    </row>
    <row r="208" spans="2:7" x14ac:dyDescent="0.2">
      <c r="C208" s="25"/>
      <c r="D208" s="2"/>
      <c r="E208" s="5"/>
      <c r="F208" s="5"/>
      <c r="G208" s="6" t="str">
        <f t="shared" si="13"/>
        <v/>
      </c>
    </row>
    <row r="209" spans="2:7" x14ac:dyDescent="0.2">
      <c r="C209" s="25"/>
      <c r="D209" s="2"/>
      <c r="E209" s="5"/>
      <c r="F209" s="5"/>
      <c r="G209" s="6" t="str">
        <f t="shared" si="13"/>
        <v/>
      </c>
    </row>
    <row r="210" spans="2:7" x14ac:dyDescent="0.2">
      <c r="C210" s="25"/>
      <c r="D210" s="2"/>
      <c r="E210" s="5"/>
      <c r="F210" s="5"/>
      <c r="G210" s="6" t="str">
        <f t="shared" si="13"/>
        <v/>
      </c>
    </row>
    <row r="211" spans="2:7" x14ac:dyDescent="0.2">
      <c r="C211" s="25"/>
      <c r="D211" s="2"/>
      <c r="E211" s="5"/>
      <c r="F211" s="5"/>
      <c r="G211" s="6" t="str">
        <f t="shared" si="13"/>
        <v/>
      </c>
    </row>
    <row r="212" spans="2:7" x14ac:dyDescent="0.2">
      <c r="C212" s="25"/>
      <c r="D212" s="2"/>
      <c r="E212" s="5"/>
      <c r="F212" s="5"/>
      <c r="G212" s="6" t="str">
        <f t="shared" si="13"/>
        <v/>
      </c>
    </row>
    <row r="213" spans="2:7" x14ac:dyDescent="0.2">
      <c r="C213" s="25"/>
      <c r="D213" s="2"/>
      <c r="E213" s="5"/>
      <c r="F213" s="5"/>
      <c r="G213" s="6" t="str">
        <f t="shared" si="13"/>
        <v/>
      </c>
    </row>
    <row r="214" spans="2:7" x14ac:dyDescent="0.2">
      <c r="C214" s="25"/>
      <c r="D214" s="2"/>
      <c r="E214" s="5"/>
      <c r="F214" s="5"/>
      <c r="G214" s="6" t="str">
        <f t="shared" si="13"/>
        <v/>
      </c>
    </row>
    <row r="215" spans="2:7" x14ac:dyDescent="0.2">
      <c r="C215" s="25"/>
      <c r="D215" s="2"/>
      <c r="E215" s="5"/>
      <c r="F215" s="5"/>
      <c r="G215" s="6" t="str">
        <f t="shared" si="13"/>
        <v/>
      </c>
    </row>
    <row r="216" spans="2:7" x14ac:dyDescent="0.2">
      <c r="B216" s="13">
        <f>G216</f>
        <v>0</v>
      </c>
      <c r="C216" s="30"/>
      <c r="D216" s="22"/>
      <c r="E216" s="22"/>
      <c r="F216" s="23" t="s">
        <v>5</v>
      </c>
      <c r="G216" s="24">
        <f>SUM(G202:G215)</f>
        <v>0</v>
      </c>
    </row>
    <row r="217" spans="2:7" x14ac:dyDescent="0.2">
      <c r="C217" s="36">
        <f>C200+1</f>
        <v>44058</v>
      </c>
      <c r="D217" s="37"/>
      <c r="E217" s="37"/>
      <c r="F217" s="37"/>
      <c r="G217" s="38"/>
    </row>
    <row r="218" spans="2:7" x14ac:dyDescent="0.2">
      <c r="C218" s="25" t="s">
        <v>0</v>
      </c>
      <c r="D218" s="2" t="s">
        <v>1</v>
      </c>
      <c r="E218" s="5" t="s">
        <v>2</v>
      </c>
      <c r="F218" s="5" t="s">
        <v>3</v>
      </c>
      <c r="G218" s="6" t="s">
        <v>4</v>
      </c>
    </row>
    <row r="219" spans="2:7" x14ac:dyDescent="0.2">
      <c r="C219" s="25"/>
      <c r="D219" s="2"/>
      <c r="E219" s="5"/>
      <c r="F219" s="5"/>
      <c r="G219" s="6" t="str">
        <f t="shared" ref="G219:G228" si="14">IF(ISBLANK(E219),"",(E219-F219-(E219*0.014+0.25)))</f>
        <v/>
      </c>
    </row>
    <row r="220" spans="2:7" x14ac:dyDescent="0.2">
      <c r="C220" s="25"/>
      <c r="D220" s="2"/>
      <c r="E220" s="5"/>
      <c r="F220" s="5"/>
      <c r="G220" s="6" t="str">
        <f t="shared" si="14"/>
        <v/>
      </c>
    </row>
    <row r="221" spans="2:7" x14ac:dyDescent="0.2">
      <c r="C221" s="25"/>
      <c r="D221" s="2"/>
      <c r="E221" s="5"/>
      <c r="F221" s="5"/>
      <c r="G221" s="6" t="str">
        <f t="shared" si="14"/>
        <v/>
      </c>
    </row>
    <row r="222" spans="2:7" x14ac:dyDescent="0.2">
      <c r="C222" s="25"/>
      <c r="D222" s="2"/>
      <c r="E222" s="5"/>
      <c r="F222" s="5"/>
      <c r="G222" s="6" t="str">
        <f t="shared" si="14"/>
        <v/>
      </c>
    </row>
    <row r="223" spans="2:7" x14ac:dyDescent="0.2">
      <c r="C223" s="25"/>
      <c r="D223" s="2"/>
      <c r="E223" s="5"/>
      <c r="F223" s="5"/>
      <c r="G223" s="6" t="str">
        <f t="shared" si="14"/>
        <v/>
      </c>
    </row>
    <row r="224" spans="2:7" x14ac:dyDescent="0.2">
      <c r="C224" s="25"/>
      <c r="D224" s="2"/>
      <c r="E224" s="5"/>
      <c r="F224" s="5"/>
      <c r="G224" s="6" t="str">
        <f t="shared" si="14"/>
        <v/>
      </c>
    </row>
    <row r="225" spans="2:7" x14ac:dyDescent="0.2">
      <c r="C225" s="25"/>
      <c r="D225" s="2"/>
      <c r="E225" s="5"/>
      <c r="F225" s="5"/>
      <c r="G225" s="6" t="str">
        <f t="shared" si="14"/>
        <v/>
      </c>
    </row>
    <row r="226" spans="2:7" x14ac:dyDescent="0.2">
      <c r="C226" s="25"/>
      <c r="D226" s="2"/>
      <c r="E226" s="5"/>
      <c r="F226" s="5"/>
      <c r="G226" s="6" t="str">
        <f t="shared" si="14"/>
        <v/>
      </c>
    </row>
    <row r="227" spans="2:7" x14ac:dyDescent="0.2">
      <c r="C227" s="25"/>
      <c r="D227" s="2"/>
      <c r="E227" s="5"/>
      <c r="F227" s="5"/>
      <c r="G227" s="6" t="str">
        <f t="shared" si="14"/>
        <v/>
      </c>
    </row>
    <row r="228" spans="2:7" x14ac:dyDescent="0.2">
      <c r="C228" s="25"/>
      <c r="D228" s="2"/>
      <c r="E228" s="5"/>
      <c r="F228" s="5"/>
      <c r="G228" s="6" t="str">
        <f t="shared" si="14"/>
        <v/>
      </c>
    </row>
    <row r="229" spans="2:7" x14ac:dyDescent="0.2">
      <c r="B229" s="13">
        <f>G229</f>
        <v>0</v>
      </c>
      <c r="C229" s="30"/>
      <c r="D229" s="22"/>
      <c r="E229" s="22"/>
      <c r="F229" s="23" t="s">
        <v>5</v>
      </c>
      <c r="G229" s="24">
        <f>SUM(G219:G228)</f>
        <v>0</v>
      </c>
    </row>
    <row r="230" spans="2:7" x14ac:dyDescent="0.2">
      <c r="C230" s="36">
        <f>C217+1</f>
        <v>44059</v>
      </c>
      <c r="D230" s="37"/>
      <c r="E230" s="37"/>
      <c r="F230" s="37"/>
      <c r="G230" s="38"/>
    </row>
    <row r="231" spans="2:7" x14ac:dyDescent="0.2">
      <c r="C231" s="25" t="s">
        <v>0</v>
      </c>
      <c r="D231" s="2" t="s">
        <v>1</v>
      </c>
      <c r="E231" s="5" t="s">
        <v>2</v>
      </c>
      <c r="F231" s="5" t="s">
        <v>3</v>
      </c>
      <c r="G231" s="6" t="s">
        <v>4</v>
      </c>
    </row>
    <row r="232" spans="2:7" x14ac:dyDescent="0.2">
      <c r="C232" s="25"/>
      <c r="D232" s="2"/>
      <c r="E232" s="5"/>
      <c r="F232" s="5"/>
      <c r="G232" s="6" t="str">
        <f t="shared" ref="G232:G242" si="15">IF(ISBLANK(E232),"",(E232-F232-(E232*0.014+0.25)))</f>
        <v/>
      </c>
    </row>
    <row r="233" spans="2:7" x14ac:dyDescent="0.2">
      <c r="C233" s="25"/>
      <c r="D233" s="2"/>
      <c r="E233" s="5"/>
      <c r="F233" s="5"/>
      <c r="G233" s="6" t="str">
        <f t="shared" si="15"/>
        <v/>
      </c>
    </row>
    <row r="234" spans="2:7" x14ac:dyDescent="0.2">
      <c r="C234" s="25"/>
      <c r="D234" s="2"/>
      <c r="E234" s="5"/>
      <c r="F234" s="5"/>
      <c r="G234" s="6" t="str">
        <f t="shared" si="15"/>
        <v/>
      </c>
    </row>
    <row r="235" spans="2:7" x14ac:dyDescent="0.2">
      <c r="C235" s="25"/>
      <c r="D235" s="2"/>
      <c r="E235" s="5"/>
      <c r="F235" s="5"/>
      <c r="G235" s="6" t="str">
        <f t="shared" si="15"/>
        <v/>
      </c>
    </row>
    <row r="236" spans="2:7" x14ac:dyDescent="0.2">
      <c r="C236" s="25"/>
      <c r="D236" s="2"/>
      <c r="E236" s="5"/>
      <c r="F236" s="5"/>
      <c r="G236" s="6" t="str">
        <f t="shared" si="15"/>
        <v/>
      </c>
    </row>
    <row r="237" spans="2:7" x14ac:dyDescent="0.2">
      <c r="C237" s="25"/>
      <c r="D237" s="2"/>
      <c r="E237" s="5"/>
      <c r="F237" s="5"/>
      <c r="G237" s="6" t="str">
        <f t="shared" si="15"/>
        <v/>
      </c>
    </row>
    <row r="238" spans="2:7" x14ac:dyDescent="0.2">
      <c r="C238" s="25"/>
      <c r="D238" s="2"/>
      <c r="E238" s="5"/>
      <c r="F238" s="5"/>
      <c r="G238" s="6" t="str">
        <f t="shared" si="15"/>
        <v/>
      </c>
    </row>
    <row r="239" spans="2:7" x14ac:dyDescent="0.2">
      <c r="C239" s="25"/>
      <c r="D239" s="2"/>
      <c r="E239" s="5"/>
      <c r="F239" s="5"/>
      <c r="G239" s="6" t="str">
        <f t="shared" si="15"/>
        <v/>
      </c>
    </row>
    <row r="240" spans="2:7" x14ac:dyDescent="0.2">
      <c r="C240" s="25"/>
      <c r="D240" s="2"/>
      <c r="E240" s="5"/>
      <c r="F240" s="5"/>
      <c r="G240" s="6" t="str">
        <f t="shared" si="15"/>
        <v/>
      </c>
    </row>
    <row r="241" spans="2:7" x14ac:dyDescent="0.2">
      <c r="C241" s="25"/>
      <c r="D241" s="2"/>
      <c r="E241" s="5"/>
      <c r="F241" s="5"/>
      <c r="G241" s="6" t="str">
        <f t="shared" si="15"/>
        <v/>
      </c>
    </row>
    <row r="242" spans="2:7" x14ac:dyDescent="0.2">
      <c r="C242" s="25"/>
      <c r="D242" s="2"/>
      <c r="E242" s="5"/>
      <c r="F242" s="5"/>
      <c r="G242" s="6" t="str">
        <f t="shared" si="15"/>
        <v/>
      </c>
    </row>
    <row r="243" spans="2:7" x14ac:dyDescent="0.2">
      <c r="B243" s="13">
        <f>G243</f>
        <v>0</v>
      </c>
      <c r="C243" s="30"/>
      <c r="D243" s="22"/>
      <c r="E243" s="22"/>
      <c r="F243" s="23" t="s">
        <v>5</v>
      </c>
      <c r="G243" s="24">
        <f>SUM(G232:G242)</f>
        <v>0</v>
      </c>
    </row>
    <row r="244" spans="2:7" x14ac:dyDescent="0.2">
      <c r="C244" s="36">
        <f>C230+1</f>
        <v>44060</v>
      </c>
      <c r="D244" s="37"/>
      <c r="E244" s="37"/>
      <c r="F244" s="37"/>
      <c r="G244" s="38"/>
    </row>
    <row r="245" spans="2:7" x14ac:dyDescent="0.2">
      <c r="C245" s="25" t="s">
        <v>0</v>
      </c>
      <c r="D245" s="2" t="s">
        <v>1</v>
      </c>
      <c r="E245" s="5" t="s">
        <v>2</v>
      </c>
      <c r="F245" s="5" t="s">
        <v>3</v>
      </c>
      <c r="G245" s="6" t="s">
        <v>4</v>
      </c>
    </row>
    <row r="246" spans="2:7" x14ac:dyDescent="0.2">
      <c r="C246" s="25"/>
      <c r="D246" s="2"/>
      <c r="E246" s="5"/>
      <c r="F246" s="5"/>
      <c r="G246" s="6" t="str">
        <f t="shared" ref="G246:G255" si="16">IF(ISBLANK(E246),"",(E246-F246-(E246*0.014+0.25)))</f>
        <v/>
      </c>
    </row>
    <row r="247" spans="2:7" x14ac:dyDescent="0.2">
      <c r="C247" s="25"/>
      <c r="D247" s="2"/>
      <c r="E247" s="5"/>
      <c r="F247" s="5"/>
      <c r="G247" s="6" t="str">
        <f t="shared" si="16"/>
        <v/>
      </c>
    </row>
    <row r="248" spans="2:7" x14ac:dyDescent="0.2">
      <c r="C248" s="25"/>
      <c r="D248" s="2"/>
      <c r="E248" s="5"/>
      <c r="F248" s="5"/>
      <c r="G248" s="6" t="str">
        <f t="shared" si="16"/>
        <v/>
      </c>
    </row>
    <row r="249" spans="2:7" x14ac:dyDescent="0.2">
      <c r="C249" s="25"/>
      <c r="D249" s="2"/>
      <c r="E249" s="5"/>
      <c r="F249" s="5"/>
      <c r="G249" s="6" t="str">
        <f t="shared" si="16"/>
        <v/>
      </c>
    </row>
    <row r="250" spans="2:7" x14ac:dyDescent="0.2">
      <c r="C250" s="25"/>
      <c r="D250" s="2"/>
      <c r="E250" s="5"/>
      <c r="F250" s="5"/>
      <c r="G250" s="6" t="str">
        <f t="shared" si="16"/>
        <v/>
      </c>
    </row>
    <row r="251" spans="2:7" x14ac:dyDescent="0.2">
      <c r="C251" s="25"/>
      <c r="D251" s="2"/>
      <c r="E251" s="5"/>
      <c r="F251" s="5"/>
      <c r="G251" s="6" t="str">
        <f t="shared" si="16"/>
        <v/>
      </c>
    </row>
    <row r="252" spans="2:7" x14ac:dyDescent="0.2">
      <c r="C252" s="25"/>
      <c r="D252" s="2"/>
      <c r="E252" s="5"/>
      <c r="F252" s="5"/>
      <c r="G252" s="6" t="str">
        <f t="shared" si="16"/>
        <v/>
      </c>
    </row>
    <row r="253" spans="2:7" x14ac:dyDescent="0.2">
      <c r="C253" s="25"/>
      <c r="D253" s="2"/>
      <c r="E253" s="5"/>
      <c r="F253" s="5"/>
      <c r="G253" s="6" t="str">
        <f t="shared" si="16"/>
        <v/>
      </c>
    </row>
    <row r="254" spans="2:7" x14ac:dyDescent="0.2">
      <c r="C254" s="25"/>
      <c r="D254" s="2"/>
      <c r="E254" s="5"/>
      <c r="F254" s="5"/>
      <c r="G254" s="6" t="str">
        <f t="shared" si="16"/>
        <v/>
      </c>
    </row>
    <row r="255" spans="2:7" x14ac:dyDescent="0.2">
      <c r="C255" s="25"/>
      <c r="D255" s="2"/>
      <c r="E255" s="5"/>
      <c r="F255" s="5"/>
      <c r="G255" s="6" t="str">
        <f t="shared" si="16"/>
        <v/>
      </c>
    </row>
    <row r="256" spans="2:7" x14ac:dyDescent="0.2">
      <c r="B256" s="13">
        <f>G256</f>
        <v>0</v>
      </c>
      <c r="C256" s="30"/>
      <c r="D256" s="22"/>
      <c r="E256" s="22"/>
      <c r="F256" s="23" t="s">
        <v>5</v>
      </c>
      <c r="G256" s="24">
        <f>SUM(G246:G255)</f>
        <v>0</v>
      </c>
    </row>
    <row r="257" spans="2:7" x14ac:dyDescent="0.2">
      <c r="C257" s="36">
        <f>C244+1</f>
        <v>44061</v>
      </c>
      <c r="D257" s="37"/>
      <c r="E257" s="37"/>
      <c r="F257" s="37"/>
      <c r="G257" s="38"/>
    </row>
    <row r="258" spans="2:7" x14ac:dyDescent="0.2">
      <c r="C258" s="25" t="s">
        <v>0</v>
      </c>
      <c r="D258" s="2" t="s">
        <v>1</v>
      </c>
      <c r="E258" s="5" t="s">
        <v>2</v>
      </c>
      <c r="F258" s="5" t="s">
        <v>3</v>
      </c>
      <c r="G258" s="6" t="s">
        <v>4</v>
      </c>
    </row>
    <row r="259" spans="2:7" x14ac:dyDescent="0.2">
      <c r="C259" s="25"/>
      <c r="D259" s="17"/>
      <c r="E259" s="5"/>
      <c r="F259" s="5"/>
      <c r="G259" s="6" t="str">
        <f t="shared" ref="G259:G268" si="17">IF(ISBLANK(E259),"",(E259-F259-(E259*0.014+0.25)))</f>
        <v/>
      </c>
    </row>
    <row r="260" spans="2:7" x14ac:dyDescent="0.2">
      <c r="C260" s="25"/>
      <c r="D260" s="2"/>
      <c r="E260" s="5"/>
      <c r="F260" s="5"/>
      <c r="G260" s="6" t="str">
        <f t="shared" si="17"/>
        <v/>
      </c>
    </row>
    <row r="261" spans="2:7" x14ac:dyDescent="0.2">
      <c r="C261" s="25"/>
      <c r="D261" s="2"/>
      <c r="E261" s="5"/>
      <c r="F261" s="5"/>
      <c r="G261" s="6" t="str">
        <f t="shared" si="17"/>
        <v/>
      </c>
    </row>
    <row r="262" spans="2:7" x14ac:dyDescent="0.2">
      <c r="C262" s="25"/>
      <c r="D262" s="2"/>
      <c r="E262" s="5"/>
      <c r="F262" s="5"/>
      <c r="G262" s="6" t="str">
        <f t="shared" si="17"/>
        <v/>
      </c>
    </row>
    <row r="263" spans="2:7" x14ac:dyDescent="0.2">
      <c r="C263" s="25"/>
      <c r="D263" s="2"/>
      <c r="E263" s="5"/>
      <c r="F263" s="5"/>
      <c r="G263" s="6" t="str">
        <f t="shared" si="17"/>
        <v/>
      </c>
    </row>
    <row r="264" spans="2:7" x14ac:dyDescent="0.2">
      <c r="C264" s="25"/>
      <c r="D264" s="2"/>
      <c r="E264" s="5"/>
      <c r="F264" s="5"/>
      <c r="G264" s="6" t="str">
        <f t="shared" si="17"/>
        <v/>
      </c>
    </row>
    <row r="265" spans="2:7" x14ac:dyDescent="0.2">
      <c r="C265" s="25"/>
      <c r="D265" s="2"/>
      <c r="E265" s="5"/>
      <c r="F265" s="5"/>
      <c r="G265" s="6" t="str">
        <f t="shared" si="17"/>
        <v/>
      </c>
    </row>
    <row r="266" spans="2:7" x14ac:dyDescent="0.2">
      <c r="C266" s="25"/>
      <c r="D266" s="2"/>
      <c r="E266" s="5"/>
      <c r="F266" s="5"/>
      <c r="G266" s="6" t="str">
        <f t="shared" si="17"/>
        <v/>
      </c>
    </row>
    <row r="267" spans="2:7" x14ac:dyDescent="0.2">
      <c r="C267" s="25"/>
      <c r="D267" s="2"/>
      <c r="E267" s="5"/>
      <c r="F267" s="5"/>
      <c r="G267" s="6" t="str">
        <f t="shared" si="17"/>
        <v/>
      </c>
    </row>
    <row r="268" spans="2:7" x14ac:dyDescent="0.2">
      <c r="C268" s="25"/>
      <c r="D268" s="2"/>
      <c r="E268" s="5"/>
      <c r="F268" s="5"/>
      <c r="G268" s="6" t="str">
        <f t="shared" si="17"/>
        <v/>
      </c>
    </row>
    <row r="269" spans="2:7" x14ac:dyDescent="0.2">
      <c r="B269" s="13">
        <f>G269</f>
        <v>0</v>
      </c>
      <c r="C269" s="30"/>
      <c r="D269" s="22"/>
      <c r="E269" s="22"/>
      <c r="F269" s="23" t="s">
        <v>5</v>
      </c>
      <c r="G269" s="24">
        <f>SUM(G259:G268)</f>
        <v>0</v>
      </c>
    </row>
    <row r="270" spans="2:7" x14ac:dyDescent="0.2">
      <c r="C270" s="36">
        <f>C257+1</f>
        <v>44062</v>
      </c>
      <c r="D270" s="37"/>
      <c r="E270" s="37"/>
      <c r="F270" s="37"/>
      <c r="G270" s="38"/>
    </row>
    <row r="271" spans="2:7" x14ac:dyDescent="0.2">
      <c r="C271" s="25" t="s">
        <v>0</v>
      </c>
      <c r="D271" s="2" t="s">
        <v>1</v>
      </c>
      <c r="E271" s="5" t="s">
        <v>2</v>
      </c>
      <c r="F271" s="5" t="s">
        <v>3</v>
      </c>
      <c r="G271" s="6" t="s">
        <v>4</v>
      </c>
    </row>
    <row r="272" spans="2:7" x14ac:dyDescent="0.2">
      <c r="C272" s="25"/>
      <c r="D272" s="2"/>
      <c r="E272" s="5"/>
      <c r="F272" s="5"/>
      <c r="G272" s="6" t="str">
        <f t="shared" ref="G272:G285" si="18">IF(ISBLANK(E272),"",(E272-F272-(E272*0.014+0.25)))</f>
        <v/>
      </c>
    </row>
    <row r="273" spans="2:7" x14ac:dyDescent="0.2">
      <c r="C273" s="25"/>
      <c r="D273" s="2"/>
      <c r="E273" s="5"/>
      <c r="F273" s="5"/>
      <c r="G273" s="6" t="str">
        <f t="shared" si="18"/>
        <v/>
      </c>
    </row>
    <row r="274" spans="2:7" x14ac:dyDescent="0.2">
      <c r="C274" s="25"/>
      <c r="D274" s="2"/>
      <c r="E274" s="5"/>
      <c r="F274" s="5"/>
      <c r="G274" s="6" t="str">
        <f t="shared" si="18"/>
        <v/>
      </c>
    </row>
    <row r="275" spans="2:7" x14ac:dyDescent="0.2">
      <c r="C275" s="25"/>
      <c r="D275" s="2"/>
      <c r="E275" s="5"/>
      <c r="F275" s="5"/>
      <c r="G275" s="6" t="str">
        <f t="shared" si="18"/>
        <v/>
      </c>
    </row>
    <row r="276" spans="2:7" x14ac:dyDescent="0.2">
      <c r="C276" s="25"/>
      <c r="D276" s="2"/>
      <c r="E276" s="5"/>
      <c r="F276" s="5"/>
      <c r="G276" s="6" t="str">
        <f t="shared" si="18"/>
        <v/>
      </c>
    </row>
    <row r="277" spans="2:7" x14ac:dyDescent="0.2">
      <c r="C277" s="25"/>
      <c r="D277" s="2"/>
      <c r="E277" s="5"/>
      <c r="F277" s="5"/>
      <c r="G277" s="6" t="str">
        <f t="shared" si="18"/>
        <v/>
      </c>
    </row>
    <row r="278" spans="2:7" x14ac:dyDescent="0.2">
      <c r="C278" s="25"/>
      <c r="D278" s="2"/>
      <c r="E278" s="5"/>
      <c r="F278" s="5"/>
      <c r="G278" s="6" t="str">
        <f t="shared" si="18"/>
        <v/>
      </c>
    </row>
    <row r="279" spans="2:7" x14ac:dyDescent="0.2">
      <c r="C279" s="25"/>
      <c r="D279" s="2"/>
      <c r="E279" s="5"/>
      <c r="F279" s="5"/>
      <c r="G279" s="6" t="str">
        <f t="shared" si="18"/>
        <v/>
      </c>
    </row>
    <row r="280" spans="2:7" x14ac:dyDescent="0.2">
      <c r="C280" s="25"/>
      <c r="D280" s="2"/>
      <c r="E280" s="5"/>
      <c r="F280" s="5"/>
      <c r="G280" s="6" t="str">
        <f t="shared" si="18"/>
        <v/>
      </c>
    </row>
    <row r="281" spans="2:7" x14ac:dyDescent="0.2">
      <c r="C281" s="25"/>
      <c r="D281" s="2"/>
      <c r="E281" s="5"/>
      <c r="F281" s="5"/>
      <c r="G281" s="6" t="str">
        <f t="shared" si="18"/>
        <v/>
      </c>
    </row>
    <row r="282" spans="2:7" x14ac:dyDescent="0.2">
      <c r="C282" s="25"/>
      <c r="D282" s="2"/>
      <c r="E282" s="5"/>
      <c r="F282" s="5"/>
      <c r="G282" s="6" t="str">
        <f t="shared" si="18"/>
        <v/>
      </c>
    </row>
    <row r="283" spans="2:7" x14ac:dyDescent="0.2">
      <c r="C283" s="25"/>
      <c r="D283" s="2"/>
      <c r="E283" s="5"/>
      <c r="F283" s="5"/>
      <c r="G283" s="6" t="str">
        <f t="shared" si="18"/>
        <v/>
      </c>
    </row>
    <row r="284" spans="2:7" x14ac:dyDescent="0.2">
      <c r="C284" s="25"/>
      <c r="D284" s="2"/>
      <c r="E284" s="5"/>
      <c r="F284" s="5"/>
      <c r="G284" s="6" t="str">
        <f t="shared" si="18"/>
        <v/>
      </c>
    </row>
    <row r="285" spans="2:7" x14ac:dyDescent="0.2">
      <c r="C285" s="25"/>
      <c r="D285" s="2"/>
      <c r="E285" s="5"/>
      <c r="F285" s="5"/>
      <c r="G285" s="6" t="str">
        <f t="shared" si="18"/>
        <v/>
      </c>
    </row>
    <row r="286" spans="2:7" x14ac:dyDescent="0.2">
      <c r="B286" s="13">
        <f>G286</f>
        <v>0</v>
      </c>
      <c r="C286" s="30"/>
      <c r="D286" s="22"/>
      <c r="E286" s="22"/>
      <c r="F286" s="23" t="s">
        <v>5</v>
      </c>
      <c r="G286" s="24">
        <f>SUM(G272:G285)</f>
        <v>0</v>
      </c>
    </row>
    <row r="287" spans="2:7" x14ac:dyDescent="0.2">
      <c r="C287" s="36">
        <f>C270+1</f>
        <v>44063</v>
      </c>
      <c r="D287" s="37"/>
      <c r="E287" s="37"/>
      <c r="F287" s="37"/>
      <c r="G287" s="38"/>
    </row>
    <row r="288" spans="2:7" x14ac:dyDescent="0.2">
      <c r="C288" s="25" t="s">
        <v>0</v>
      </c>
      <c r="D288" s="2" t="s">
        <v>1</v>
      </c>
      <c r="E288" s="5" t="s">
        <v>2</v>
      </c>
      <c r="F288" s="5" t="s">
        <v>3</v>
      </c>
      <c r="G288" s="6" t="s">
        <v>4</v>
      </c>
    </row>
    <row r="289" spans="2:7" x14ac:dyDescent="0.2">
      <c r="C289" s="25"/>
      <c r="D289" s="2"/>
      <c r="E289" s="5"/>
      <c r="F289" s="5"/>
      <c r="G289" s="6" t="str">
        <f t="shared" ref="G289:G302" si="19">IF(ISBLANK(E289),"",(E289-F289-(E289*0.014+0.25)))</f>
        <v/>
      </c>
    </row>
    <row r="290" spans="2:7" x14ac:dyDescent="0.2">
      <c r="C290" s="25"/>
      <c r="D290" s="2"/>
      <c r="E290" s="5"/>
      <c r="F290" s="5"/>
      <c r="G290" s="6" t="str">
        <f t="shared" si="19"/>
        <v/>
      </c>
    </row>
    <row r="291" spans="2:7" x14ac:dyDescent="0.2">
      <c r="C291" s="25"/>
      <c r="D291" s="2"/>
      <c r="E291" s="5"/>
      <c r="F291" s="5"/>
      <c r="G291" s="6" t="str">
        <f t="shared" si="19"/>
        <v/>
      </c>
    </row>
    <row r="292" spans="2:7" x14ac:dyDescent="0.2">
      <c r="C292" s="25"/>
      <c r="D292" s="2"/>
      <c r="E292" s="5"/>
      <c r="F292" s="5"/>
      <c r="G292" s="6" t="str">
        <f t="shared" si="19"/>
        <v/>
      </c>
    </row>
    <row r="293" spans="2:7" x14ac:dyDescent="0.2">
      <c r="C293" s="25"/>
      <c r="D293" s="2"/>
      <c r="E293" s="5"/>
      <c r="F293" s="5"/>
      <c r="G293" s="6" t="str">
        <f t="shared" si="19"/>
        <v/>
      </c>
    </row>
    <row r="294" spans="2:7" x14ac:dyDescent="0.2">
      <c r="C294" s="25"/>
      <c r="D294" s="2"/>
      <c r="E294" s="5"/>
      <c r="F294" s="5"/>
      <c r="G294" s="6" t="str">
        <f t="shared" si="19"/>
        <v/>
      </c>
    </row>
    <row r="295" spans="2:7" x14ac:dyDescent="0.2">
      <c r="C295" s="25"/>
      <c r="D295" s="2"/>
      <c r="E295" s="5"/>
      <c r="F295" s="5"/>
      <c r="G295" s="6" t="str">
        <f t="shared" si="19"/>
        <v/>
      </c>
    </row>
    <row r="296" spans="2:7" x14ac:dyDescent="0.2">
      <c r="C296" s="25"/>
      <c r="D296" s="2"/>
      <c r="E296" s="5"/>
      <c r="F296" s="5"/>
      <c r="G296" s="6" t="str">
        <f t="shared" si="19"/>
        <v/>
      </c>
    </row>
    <row r="297" spans="2:7" x14ac:dyDescent="0.2">
      <c r="C297" s="25"/>
      <c r="D297" s="2"/>
      <c r="E297" s="5"/>
      <c r="F297" s="5"/>
      <c r="G297" s="6" t="str">
        <f t="shared" si="19"/>
        <v/>
      </c>
    </row>
    <row r="298" spans="2:7" x14ac:dyDescent="0.2">
      <c r="C298" s="25"/>
      <c r="D298" s="2"/>
      <c r="E298" s="5"/>
      <c r="F298" s="5"/>
      <c r="G298" s="6" t="str">
        <f t="shared" si="19"/>
        <v/>
      </c>
    </row>
    <row r="299" spans="2:7" x14ac:dyDescent="0.2">
      <c r="C299" s="25"/>
      <c r="D299" s="2"/>
      <c r="E299" s="5"/>
      <c r="F299" s="5"/>
      <c r="G299" s="6" t="str">
        <f t="shared" si="19"/>
        <v/>
      </c>
    </row>
    <row r="300" spans="2:7" x14ac:dyDescent="0.2">
      <c r="C300" s="25"/>
      <c r="D300" s="2"/>
      <c r="E300" s="5"/>
      <c r="F300" s="5"/>
      <c r="G300" s="6" t="str">
        <f t="shared" si="19"/>
        <v/>
      </c>
    </row>
    <row r="301" spans="2:7" x14ac:dyDescent="0.2">
      <c r="C301" s="25"/>
      <c r="D301" s="2"/>
      <c r="E301" s="5"/>
      <c r="F301" s="5"/>
      <c r="G301" s="6" t="str">
        <f t="shared" si="19"/>
        <v/>
      </c>
    </row>
    <row r="302" spans="2:7" x14ac:dyDescent="0.2">
      <c r="C302" s="25"/>
      <c r="D302" s="2"/>
      <c r="E302" s="5"/>
      <c r="F302" s="5"/>
      <c r="G302" s="6" t="str">
        <f t="shared" si="19"/>
        <v/>
      </c>
    </row>
    <row r="303" spans="2:7" x14ac:dyDescent="0.2">
      <c r="B303" s="13">
        <f>G303</f>
        <v>0</v>
      </c>
      <c r="C303" s="30"/>
      <c r="D303" s="22"/>
      <c r="E303" s="22"/>
      <c r="F303" s="23" t="s">
        <v>5</v>
      </c>
      <c r="G303" s="24">
        <f>SUM(G289:G302)</f>
        <v>0</v>
      </c>
    </row>
    <row r="304" spans="2:7" x14ac:dyDescent="0.2">
      <c r="C304" s="36">
        <f>C287+1</f>
        <v>44064</v>
      </c>
      <c r="D304" s="37"/>
      <c r="E304" s="37"/>
      <c r="F304" s="37"/>
      <c r="G304" s="38"/>
    </row>
    <row r="305" spans="2:7" x14ac:dyDescent="0.2">
      <c r="C305" s="25" t="s">
        <v>0</v>
      </c>
      <c r="D305" s="2" t="s">
        <v>1</v>
      </c>
      <c r="E305" s="5" t="s">
        <v>2</v>
      </c>
      <c r="F305" s="5" t="s">
        <v>3</v>
      </c>
      <c r="G305" s="6" t="s">
        <v>4</v>
      </c>
    </row>
    <row r="306" spans="2:7" x14ac:dyDescent="0.2">
      <c r="C306" s="25"/>
      <c r="D306" s="2"/>
      <c r="E306" s="5"/>
      <c r="F306" s="5"/>
      <c r="G306" s="6" t="str">
        <f t="shared" ref="G306:G315" si="20">IF(ISBLANK(E306),"",(E306-F306-(E306*0.014+0.25)))</f>
        <v/>
      </c>
    </row>
    <row r="307" spans="2:7" x14ac:dyDescent="0.2">
      <c r="C307" s="25"/>
      <c r="D307" s="2"/>
      <c r="E307" s="5"/>
      <c r="F307" s="5"/>
      <c r="G307" s="6" t="str">
        <f t="shared" si="20"/>
        <v/>
      </c>
    </row>
    <row r="308" spans="2:7" x14ac:dyDescent="0.2">
      <c r="C308" s="25"/>
      <c r="D308" s="2"/>
      <c r="E308" s="5"/>
      <c r="F308" s="5"/>
      <c r="G308" s="6" t="str">
        <f t="shared" si="20"/>
        <v/>
      </c>
    </row>
    <row r="309" spans="2:7" x14ac:dyDescent="0.2">
      <c r="C309" s="25"/>
      <c r="D309" s="2"/>
      <c r="E309" s="5"/>
      <c r="F309" s="5"/>
      <c r="G309" s="6" t="str">
        <f t="shared" si="20"/>
        <v/>
      </c>
    </row>
    <row r="310" spans="2:7" x14ac:dyDescent="0.2">
      <c r="C310" s="25"/>
      <c r="D310" s="2"/>
      <c r="E310" s="5"/>
      <c r="F310" s="5"/>
      <c r="G310" s="6" t="str">
        <f t="shared" si="20"/>
        <v/>
      </c>
    </row>
    <row r="311" spans="2:7" x14ac:dyDescent="0.2">
      <c r="C311" s="25"/>
      <c r="D311" s="2"/>
      <c r="E311" s="5"/>
      <c r="F311" s="5"/>
      <c r="G311" s="6" t="str">
        <f t="shared" si="20"/>
        <v/>
      </c>
    </row>
    <row r="312" spans="2:7" x14ac:dyDescent="0.2">
      <c r="C312" s="25"/>
      <c r="D312" s="2"/>
      <c r="E312" s="5"/>
      <c r="F312" s="5"/>
      <c r="G312" s="6" t="str">
        <f t="shared" si="20"/>
        <v/>
      </c>
    </row>
    <row r="313" spans="2:7" x14ac:dyDescent="0.2">
      <c r="C313" s="25"/>
      <c r="D313" s="2"/>
      <c r="E313" s="5"/>
      <c r="F313" s="5"/>
      <c r="G313" s="6" t="str">
        <f t="shared" si="20"/>
        <v/>
      </c>
    </row>
    <row r="314" spans="2:7" x14ac:dyDescent="0.2">
      <c r="C314" s="25"/>
      <c r="D314" s="2"/>
      <c r="E314" s="5"/>
      <c r="F314" s="5"/>
      <c r="G314" s="6" t="str">
        <f t="shared" si="20"/>
        <v/>
      </c>
    </row>
    <row r="315" spans="2:7" x14ac:dyDescent="0.2">
      <c r="C315" s="25"/>
      <c r="D315" s="2"/>
      <c r="E315" s="5"/>
      <c r="F315" s="5"/>
      <c r="G315" s="6" t="str">
        <f t="shared" si="20"/>
        <v/>
      </c>
    </row>
    <row r="316" spans="2:7" x14ac:dyDescent="0.2">
      <c r="B316" s="13">
        <f>G316</f>
        <v>0</v>
      </c>
      <c r="C316" s="30"/>
      <c r="D316" s="22"/>
      <c r="E316" s="22"/>
      <c r="F316" s="23" t="s">
        <v>5</v>
      </c>
      <c r="G316" s="24">
        <f>SUM(G306:G315)</f>
        <v>0</v>
      </c>
    </row>
    <row r="317" spans="2:7" x14ac:dyDescent="0.2">
      <c r="C317" s="36">
        <f>C304+1</f>
        <v>44065</v>
      </c>
      <c r="D317" s="37"/>
      <c r="E317" s="37"/>
      <c r="F317" s="37"/>
      <c r="G317" s="38"/>
    </row>
    <row r="318" spans="2:7" x14ac:dyDescent="0.2">
      <c r="C318" s="25" t="s">
        <v>0</v>
      </c>
      <c r="D318" s="2" t="s">
        <v>1</v>
      </c>
      <c r="E318" s="5" t="s">
        <v>2</v>
      </c>
      <c r="F318" s="5" t="s">
        <v>3</v>
      </c>
      <c r="G318" s="6" t="s">
        <v>4</v>
      </c>
    </row>
    <row r="319" spans="2:7" x14ac:dyDescent="0.2">
      <c r="C319" s="25"/>
      <c r="D319" s="2"/>
      <c r="E319" s="5"/>
      <c r="F319" s="5"/>
      <c r="G319" s="6" t="str">
        <f t="shared" ref="G319:G329" si="21">IF(ISBLANK(E319),"",(E319-F319-(E319*0.014+0.25)))</f>
        <v/>
      </c>
    </row>
    <row r="320" spans="2:7" x14ac:dyDescent="0.2">
      <c r="C320" s="25"/>
      <c r="D320" s="2"/>
      <c r="E320" s="5"/>
      <c r="F320" s="5"/>
      <c r="G320" s="6" t="str">
        <f t="shared" si="21"/>
        <v/>
      </c>
    </row>
    <row r="321" spans="2:7" x14ac:dyDescent="0.2">
      <c r="C321" s="25"/>
      <c r="D321" s="2"/>
      <c r="E321" s="5"/>
      <c r="F321" s="5"/>
      <c r="G321" s="6" t="str">
        <f t="shared" si="21"/>
        <v/>
      </c>
    </row>
    <row r="322" spans="2:7" x14ac:dyDescent="0.2">
      <c r="C322" s="25"/>
      <c r="D322" s="2"/>
      <c r="E322" s="5"/>
      <c r="F322" s="5"/>
      <c r="G322" s="6" t="str">
        <f t="shared" si="21"/>
        <v/>
      </c>
    </row>
    <row r="323" spans="2:7" x14ac:dyDescent="0.2">
      <c r="C323" s="25"/>
      <c r="D323" s="2"/>
      <c r="E323" s="5"/>
      <c r="F323" s="5"/>
      <c r="G323" s="6" t="str">
        <f t="shared" si="21"/>
        <v/>
      </c>
    </row>
    <row r="324" spans="2:7" x14ac:dyDescent="0.2">
      <c r="C324" s="25"/>
      <c r="D324" s="2"/>
      <c r="E324" s="5"/>
      <c r="F324" s="5"/>
      <c r="G324" s="6" t="str">
        <f t="shared" si="21"/>
        <v/>
      </c>
    </row>
    <row r="325" spans="2:7" x14ac:dyDescent="0.2">
      <c r="C325" s="25"/>
      <c r="D325" s="2"/>
      <c r="E325" s="5"/>
      <c r="F325" s="5"/>
      <c r="G325" s="6" t="str">
        <f t="shared" si="21"/>
        <v/>
      </c>
    </row>
    <row r="326" spans="2:7" x14ac:dyDescent="0.2">
      <c r="C326" s="25"/>
      <c r="D326" s="2"/>
      <c r="E326" s="5"/>
      <c r="F326" s="5"/>
      <c r="G326" s="6" t="str">
        <f t="shared" si="21"/>
        <v/>
      </c>
    </row>
    <row r="327" spans="2:7" x14ac:dyDescent="0.2">
      <c r="C327" s="25"/>
      <c r="D327" s="2"/>
      <c r="E327" s="5"/>
      <c r="F327" s="5"/>
      <c r="G327" s="6" t="str">
        <f t="shared" si="21"/>
        <v/>
      </c>
    </row>
    <row r="328" spans="2:7" x14ac:dyDescent="0.2">
      <c r="C328" s="25"/>
      <c r="D328" s="2"/>
      <c r="E328" s="5"/>
      <c r="F328" s="5"/>
      <c r="G328" s="6" t="str">
        <f t="shared" si="21"/>
        <v/>
      </c>
    </row>
    <row r="329" spans="2:7" x14ac:dyDescent="0.2">
      <c r="C329" s="25"/>
      <c r="D329" s="2"/>
      <c r="E329" s="5"/>
      <c r="F329" s="5"/>
      <c r="G329" s="6" t="str">
        <f t="shared" si="21"/>
        <v/>
      </c>
    </row>
    <row r="330" spans="2:7" x14ac:dyDescent="0.2">
      <c r="B330" s="13">
        <f>G330</f>
        <v>0</v>
      </c>
      <c r="C330" s="30"/>
      <c r="D330" s="22"/>
      <c r="E330" s="22"/>
      <c r="F330" s="23" t="s">
        <v>5</v>
      </c>
      <c r="G330" s="24">
        <f>SUM(G319:G329)</f>
        <v>0</v>
      </c>
    </row>
    <row r="331" spans="2:7" x14ac:dyDescent="0.2">
      <c r="C331" s="36">
        <f>C317+1</f>
        <v>44066</v>
      </c>
      <c r="D331" s="37"/>
      <c r="E331" s="37"/>
      <c r="F331" s="37"/>
      <c r="G331" s="38"/>
    </row>
    <row r="332" spans="2:7" x14ac:dyDescent="0.2">
      <c r="C332" s="25" t="s">
        <v>0</v>
      </c>
      <c r="D332" s="2" t="s">
        <v>1</v>
      </c>
      <c r="E332" s="5" t="s">
        <v>2</v>
      </c>
      <c r="F332" s="5" t="s">
        <v>3</v>
      </c>
      <c r="G332" s="6" t="s">
        <v>4</v>
      </c>
    </row>
    <row r="333" spans="2:7" x14ac:dyDescent="0.2">
      <c r="C333" s="25"/>
      <c r="D333" s="2"/>
      <c r="E333" s="5"/>
      <c r="F333" s="5"/>
      <c r="G333" s="6" t="str">
        <f t="shared" ref="G333:G343" si="22">IF(ISBLANK(E333),"",(E333-F333-(E333*0.014+0.25)))</f>
        <v/>
      </c>
    </row>
    <row r="334" spans="2:7" x14ac:dyDescent="0.2">
      <c r="C334" s="25"/>
      <c r="D334" s="2"/>
      <c r="E334" s="5"/>
      <c r="F334" s="5"/>
      <c r="G334" s="6" t="str">
        <f t="shared" si="22"/>
        <v/>
      </c>
    </row>
    <row r="335" spans="2:7" x14ac:dyDescent="0.2">
      <c r="C335" s="25"/>
      <c r="D335" s="2"/>
      <c r="E335" s="5"/>
      <c r="F335" s="5"/>
      <c r="G335" s="6" t="str">
        <f t="shared" si="22"/>
        <v/>
      </c>
    </row>
    <row r="336" spans="2:7" x14ac:dyDescent="0.2">
      <c r="C336" s="25"/>
      <c r="D336" s="2"/>
      <c r="E336" s="5"/>
      <c r="F336" s="5"/>
      <c r="G336" s="6" t="str">
        <f t="shared" si="22"/>
        <v/>
      </c>
    </row>
    <row r="337" spans="2:7" x14ac:dyDescent="0.2">
      <c r="C337" s="25"/>
      <c r="D337" s="2"/>
      <c r="E337" s="5"/>
      <c r="F337" s="5"/>
      <c r="G337" s="6" t="str">
        <f t="shared" si="22"/>
        <v/>
      </c>
    </row>
    <row r="338" spans="2:7" x14ac:dyDescent="0.2">
      <c r="C338" s="25"/>
      <c r="D338" s="2"/>
      <c r="E338" s="5"/>
      <c r="F338" s="5"/>
      <c r="G338" s="6" t="str">
        <f t="shared" si="22"/>
        <v/>
      </c>
    </row>
    <row r="339" spans="2:7" x14ac:dyDescent="0.2">
      <c r="C339" s="25"/>
      <c r="D339" s="2"/>
      <c r="E339" s="5"/>
      <c r="F339" s="5"/>
      <c r="G339" s="6" t="str">
        <f t="shared" si="22"/>
        <v/>
      </c>
    </row>
    <row r="340" spans="2:7" x14ac:dyDescent="0.2">
      <c r="C340" s="25"/>
      <c r="D340" s="2"/>
      <c r="E340" s="5"/>
      <c r="F340" s="5"/>
      <c r="G340" s="6" t="str">
        <f t="shared" si="22"/>
        <v/>
      </c>
    </row>
    <row r="341" spans="2:7" x14ac:dyDescent="0.2">
      <c r="C341" s="25"/>
      <c r="D341" s="2"/>
      <c r="E341" s="5"/>
      <c r="F341" s="5"/>
      <c r="G341" s="6" t="str">
        <f t="shared" si="22"/>
        <v/>
      </c>
    </row>
    <row r="342" spans="2:7" x14ac:dyDescent="0.2">
      <c r="C342" s="25"/>
      <c r="D342" s="2"/>
      <c r="E342" s="5"/>
      <c r="F342" s="5"/>
      <c r="G342" s="6" t="str">
        <f t="shared" si="22"/>
        <v/>
      </c>
    </row>
    <row r="343" spans="2:7" x14ac:dyDescent="0.2">
      <c r="C343" s="25"/>
      <c r="D343" s="2"/>
      <c r="E343" s="5"/>
      <c r="F343" s="5"/>
      <c r="G343" s="6" t="str">
        <f t="shared" si="22"/>
        <v/>
      </c>
    </row>
    <row r="344" spans="2:7" x14ac:dyDescent="0.2">
      <c r="B344" s="13">
        <f>G344</f>
        <v>0</v>
      </c>
      <c r="C344" s="30"/>
      <c r="D344" s="22"/>
      <c r="E344" s="22"/>
      <c r="F344" s="23" t="s">
        <v>5</v>
      </c>
      <c r="G344" s="24">
        <f>SUM(G333:G343)</f>
        <v>0</v>
      </c>
    </row>
    <row r="345" spans="2:7" x14ac:dyDescent="0.2">
      <c r="C345" s="36">
        <f>C331+1</f>
        <v>44067</v>
      </c>
      <c r="D345" s="37"/>
      <c r="E345" s="37"/>
      <c r="F345" s="37"/>
      <c r="G345" s="38"/>
    </row>
    <row r="346" spans="2:7" x14ac:dyDescent="0.2">
      <c r="C346" s="25" t="s">
        <v>0</v>
      </c>
      <c r="D346" s="2" t="s">
        <v>1</v>
      </c>
      <c r="E346" s="5" t="s">
        <v>2</v>
      </c>
      <c r="F346" s="5" t="s">
        <v>3</v>
      </c>
      <c r="G346" s="6" t="s">
        <v>4</v>
      </c>
    </row>
    <row r="347" spans="2:7" x14ac:dyDescent="0.2">
      <c r="C347" s="25"/>
      <c r="D347" s="2"/>
      <c r="E347" s="5"/>
      <c r="F347" s="5"/>
      <c r="G347" s="6"/>
    </row>
    <row r="348" spans="2:7" x14ac:dyDescent="0.2">
      <c r="C348" s="25"/>
      <c r="D348" s="2"/>
      <c r="E348" s="5"/>
      <c r="F348" s="5"/>
      <c r="G348" s="6"/>
    </row>
    <row r="349" spans="2:7" x14ac:dyDescent="0.2">
      <c r="C349" s="25"/>
      <c r="D349" s="2"/>
      <c r="E349" s="5"/>
      <c r="F349" s="5"/>
      <c r="G349" s="6"/>
    </row>
    <row r="350" spans="2:7" x14ac:dyDescent="0.2">
      <c r="C350" s="25"/>
      <c r="D350" s="2"/>
      <c r="E350" s="5"/>
      <c r="F350" s="5"/>
      <c r="G350" s="6" t="str">
        <f t="shared" ref="G350:G360" si="23">IF(ISBLANK(E350),"",(E350-F350-(E350*0.014+0.25)))</f>
        <v/>
      </c>
    </row>
    <row r="351" spans="2:7" x14ac:dyDescent="0.2">
      <c r="C351" s="25"/>
      <c r="D351" s="2"/>
      <c r="E351" s="5"/>
      <c r="F351" s="5"/>
      <c r="G351" s="6" t="str">
        <f t="shared" si="23"/>
        <v/>
      </c>
    </row>
    <row r="352" spans="2:7" x14ac:dyDescent="0.2">
      <c r="C352" s="25"/>
      <c r="D352" s="2"/>
      <c r="E352" s="5"/>
      <c r="F352" s="5"/>
      <c r="G352" s="6" t="str">
        <f t="shared" si="23"/>
        <v/>
      </c>
    </row>
    <row r="353" spans="2:7" x14ac:dyDescent="0.2">
      <c r="C353" s="25"/>
      <c r="D353" s="2"/>
      <c r="E353" s="5"/>
      <c r="F353" s="5"/>
      <c r="G353" s="6" t="str">
        <f t="shared" si="23"/>
        <v/>
      </c>
    </row>
    <row r="354" spans="2:7" x14ac:dyDescent="0.2">
      <c r="C354" s="25"/>
      <c r="D354" s="2"/>
      <c r="E354" s="5"/>
      <c r="F354" s="5"/>
      <c r="G354" s="6" t="str">
        <f t="shared" si="23"/>
        <v/>
      </c>
    </row>
    <row r="355" spans="2:7" x14ac:dyDescent="0.2">
      <c r="C355" s="25"/>
      <c r="D355" s="2"/>
      <c r="E355" s="5"/>
      <c r="F355" s="5"/>
      <c r="G355" s="6" t="str">
        <f t="shared" si="23"/>
        <v/>
      </c>
    </row>
    <row r="356" spans="2:7" x14ac:dyDescent="0.2">
      <c r="C356" s="25"/>
      <c r="D356" s="2"/>
      <c r="E356" s="5"/>
      <c r="F356" s="5"/>
      <c r="G356" s="6" t="str">
        <f t="shared" si="23"/>
        <v/>
      </c>
    </row>
    <row r="357" spans="2:7" x14ac:dyDescent="0.2">
      <c r="C357" s="25"/>
      <c r="D357" s="2"/>
      <c r="E357" s="5"/>
      <c r="F357" s="5"/>
      <c r="G357" s="6" t="str">
        <f t="shared" si="23"/>
        <v/>
      </c>
    </row>
    <row r="358" spans="2:7" x14ac:dyDescent="0.2">
      <c r="C358" s="25"/>
      <c r="D358" s="2"/>
      <c r="E358" s="5"/>
      <c r="F358" s="5"/>
      <c r="G358" s="6" t="str">
        <f t="shared" si="23"/>
        <v/>
      </c>
    </row>
    <row r="359" spans="2:7" x14ac:dyDescent="0.2">
      <c r="C359" s="25"/>
      <c r="D359" s="2"/>
      <c r="E359" s="5"/>
      <c r="F359" s="5"/>
      <c r="G359" s="6" t="str">
        <f t="shared" si="23"/>
        <v/>
      </c>
    </row>
    <row r="360" spans="2:7" x14ac:dyDescent="0.2">
      <c r="C360" s="25"/>
      <c r="D360" s="2"/>
      <c r="E360" s="5"/>
      <c r="F360" s="5"/>
      <c r="G360" s="6" t="str">
        <f t="shared" si="23"/>
        <v/>
      </c>
    </row>
    <row r="361" spans="2:7" x14ac:dyDescent="0.2">
      <c r="B361" s="13">
        <f>G361</f>
        <v>0</v>
      </c>
      <c r="C361" s="30"/>
      <c r="D361" s="22"/>
      <c r="E361" s="22"/>
      <c r="F361" s="23" t="s">
        <v>5</v>
      </c>
      <c r="G361" s="24">
        <f>SUM(G347:G360)</f>
        <v>0</v>
      </c>
    </row>
    <row r="362" spans="2:7" x14ac:dyDescent="0.2">
      <c r="C362" s="36">
        <f>C345+1</f>
        <v>44068</v>
      </c>
      <c r="D362" s="37"/>
      <c r="E362" s="37"/>
      <c r="F362" s="37"/>
      <c r="G362" s="38"/>
    </row>
    <row r="363" spans="2:7" x14ac:dyDescent="0.2">
      <c r="C363" s="25" t="s">
        <v>0</v>
      </c>
      <c r="D363" s="2" t="s">
        <v>1</v>
      </c>
      <c r="E363" s="5" t="s">
        <v>2</v>
      </c>
      <c r="F363" s="5" t="s">
        <v>3</v>
      </c>
      <c r="G363" s="6" t="s">
        <v>4</v>
      </c>
    </row>
    <row r="364" spans="2:7" x14ac:dyDescent="0.2">
      <c r="C364" s="25"/>
      <c r="D364" s="2"/>
      <c r="E364" s="5"/>
      <c r="F364" s="5"/>
      <c r="G364" s="6" t="str">
        <f t="shared" ref="G364:G374" si="24">IF(ISBLANK(E364),"",(E364-F364-(E364*0.014+0.25)))</f>
        <v/>
      </c>
    </row>
    <row r="365" spans="2:7" x14ac:dyDescent="0.2">
      <c r="C365" s="25"/>
      <c r="D365" s="2"/>
      <c r="E365" s="5"/>
      <c r="F365" s="5"/>
      <c r="G365" s="6" t="str">
        <f t="shared" si="24"/>
        <v/>
      </c>
    </row>
    <row r="366" spans="2:7" x14ac:dyDescent="0.2">
      <c r="C366" s="25"/>
      <c r="D366" s="2"/>
      <c r="E366" s="5"/>
      <c r="F366" s="5"/>
      <c r="G366" s="6" t="str">
        <f t="shared" si="24"/>
        <v/>
      </c>
    </row>
    <row r="367" spans="2:7" x14ac:dyDescent="0.2">
      <c r="C367" s="25"/>
      <c r="D367" s="2"/>
      <c r="E367" s="5"/>
      <c r="F367" s="5"/>
      <c r="G367" s="6" t="str">
        <f t="shared" si="24"/>
        <v/>
      </c>
    </row>
    <row r="368" spans="2:7" x14ac:dyDescent="0.2">
      <c r="C368" s="25"/>
      <c r="D368" s="2"/>
      <c r="E368" s="5"/>
      <c r="F368" s="5"/>
      <c r="G368" s="6" t="str">
        <f t="shared" si="24"/>
        <v/>
      </c>
    </row>
    <row r="369" spans="2:7" x14ac:dyDescent="0.2">
      <c r="C369" s="25"/>
      <c r="D369" s="2"/>
      <c r="E369" s="5"/>
      <c r="F369" s="5"/>
      <c r="G369" s="6" t="str">
        <f t="shared" si="24"/>
        <v/>
      </c>
    </row>
    <row r="370" spans="2:7" x14ac:dyDescent="0.2">
      <c r="C370" s="25"/>
      <c r="D370" s="2"/>
      <c r="E370" s="5"/>
      <c r="F370" s="5"/>
      <c r="G370" s="6" t="str">
        <f t="shared" si="24"/>
        <v/>
      </c>
    </row>
    <row r="371" spans="2:7" x14ac:dyDescent="0.2">
      <c r="C371" s="25"/>
      <c r="D371" s="2"/>
      <c r="E371" s="5"/>
      <c r="F371" s="5"/>
      <c r="G371" s="6" t="str">
        <f t="shared" si="24"/>
        <v/>
      </c>
    </row>
    <row r="372" spans="2:7" x14ac:dyDescent="0.2">
      <c r="C372" s="25"/>
      <c r="D372" s="2"/>
      <c r="E372" s="5"/>
      <c r="F372" s="5"/>
      <c r="G372" s="6" t="str">
        <f t="shared" si="24"/>
        <v/>
      </c>
    </row>
    <row r="373" spans="2:7" x14ac:dyDescent="0.2">
      <c r="C373" s="25"/>
      <c r="D373" s="2"/>
      <c r="E373" s="5"/>
      <c r="F373" s="5"/>
      <c r="G373" s="6" t="str">
        <f t="shared" si="24"/>
        <v/>
      </c>
    </row>
    <row r="374" spans="2:7" x14ac:dyDescent="0.2">
      <c r="C374" s="25"/>
      <c r="D374" s="2"/>
      <c r="E374" s="5"/>
      <c r="F374" s="5"/>
      <c r="G374" s="6" t="str">
        <f t="shared" si="24"/>
        <v/>
      </c>
    </row>
    <row r="375" spans="2:7" x14ac:dyDescent="0.2">
      <c r="B375" s="13">
        <f>G375</f>
        <v>0</v>
      </c>
      <c r="C375" s="30"/>
      <c r="D375" s="22"/>
      <c r="E375" s="22"/>
      <c r="F375" s="23" t="s">
        <v>5</v>
      </c>
      <c r="G375" s="24">
        <f>SUM(G364:G374)</f>
        <v>0</v>
      </c>
    </row>
    <row r="376" spans="2:7" x14ac:dyDescent="0.2">
      <c r="C376" s="36">
        <f>C362+1</f>
        <v>44069</v>
      </c>
      <c r="D376" s="37"/>
      <c r="E376" s="37"/>
      <c r="F376" s="37"/>
      <c r="G376" s="38"/>
    </row>
    <row r="377" spans="2:7" x14ac:dyDescent="0.2">
      <c r="C377" s="25" t="s">
        <v>0</v>
      </c>
      <c r="D377" s="2" t="s">
        <v>1</v>
      </c>
      <c r="E377" s="5" t="s">
        <v>2</v>
      </c>
      <c r="F377" s="5" t="s">
        <v>3</v>
      </c>
      <c r="G377" s="6" t="s">
        <v>4</v>
      </c>
    </row>
    <row r="378" spans="2:7" x14ac:dyDescent="0.2">
      <c r="C378" s="25"/>
      <c r="D378" s="2"/>
      <c r="E378" s="5"/>
      <c r="F378" s="5"/>
      <c r="G378" s="6" t="str">
        <f t="shared" ref="G378:G387" si="25">IF(ISBLANK(E378),"",(E378-F378-(E378*0.014+0.25)))</f>
        <v/>
      </c>
    </row>
    <row r="379" spans="2:7" x14ac:dyDescent="0.2">
      <c r="C379" s="25"/>
      <c r="D379" s="2"/>
      <c r="E379" s="5"/>
      <c r="F379" s="5"/>
      <c r="G379" s="6" t="str">
        <f t="shared" si="25"/>
        <v/>
      </c>
    </row>
    <row r="380" spans="2:7" x14ac:dyDescent="0.2">
      <c r="C380" s="25"/>
      <c r="D380" s="2"/>
      <c r="E380" s="5"/>
      <c r="F380" s="5"/>
      <c r="G380" s="6" t="str">
        <f t="shared" si="25"/>
        <v/>
      </c>
    </row>
    <row r="381" spans="2:7" x14ac:dyDescent="0.2">
      <c r="C381" s="25"/>
      <c r="D381" s="2"/>
      <c r="E381" s="5"/>
      <c r="F381" s="5"/>
      <c r="G381" s="6" t="str">
        <f t="shared" si="25"/>
        <v/>
      </c>
    </row>
    <row r="382" spans="2:7" x14ac:dyDescent="0.2">
      <c r="C382" s="25"/>
      <c r="D382" s="2"/>
      <c r="E382" s="5"/>
      <c r="F382" s="5"/>
      <c r="G382" s="6" t="str">
        <f t="shared" si="25"/>
        <v/>
      </c>
    </row>
    <row r="383" spans="2:7" x14ac:dyDescent="0.2">
      <c r="C383" s="25"/>
      <c r="D383" s="2"/>
      <c r="E383" s="5"/>
      <c r="F383" s="5"/>
      <c r="G383" s="6" t="str">
        <f t="shared" si="25"/>
        <v/>
      </c>
    </row>
    <row r="384" spans="2:7" x14ac:dyDescent="0.2">
      <c r="C384" s="25"/>
      <c r="D384" s="2"/>
      <c r="E384" s="5"/>
      <c r="F384" s="5"/>
      <c r="G384" s="6" t="str">
        <f t="shared" si="25"/>
        <v/>
      </c>
    </row>
    <row r="385" spans="2:7" x14ac:dyDescent="0.2">
      <c r="C385" s="25"/>
      <c r="D385" s="2"/>
      <c r="E385" s="5"/>
      <c r="F385" s="5"/>
      <c r="G385" s="6" t="str">
        <f t="shared" si="25"/>
        <v/>
      </c>
    </row>
    <row r="386" spans="2:7" x14ac:dyDescent="0.2">
      <c r="C386" s="25"/>
      <c r="D386" s="2"/>
      <c r="E386" s="5"/>
      <c r="F386" s="5"/>
      <c r="G386" s="6" t="str">
        <f t="shared" si="25"/>
        <v/>
      </c>
    </row>
    <row r="387" spans="2:7" x14ac:dyDescent="0.2">
      <c r="C387" s="25"/>
      <c r="D387" s="2"/>
      <c r="E387" s="5"/>
      <c r="F387" s="5"/>
      <c r="G387" s="6" t="str">
        <f t="shared" si="25"/>
        <v/>
      </c>
    </row>
    <row r="388" spans="2:7" x14ac:dyDescent="0.2">
      <c r="B388" s="13">
        <f>G388</f>
        <v>0</v>
      </c>
      <c r="C388" s="30"/>
      <c r="D388" s="22"/>
      <c r="E388" s="22"/>
      <c r="F388" s="23" t="s">
        <v>5</v>
      </c>
      <c r="G388" s="24">
        <f>SUM(G378:G387)</f>
        <v>0</v>
      </c>
    </row>
    <row r="389" spans="2:7" x14ac:dyDescent="0.2">
      <c r="C389" s="36">
        <f>C376+1</f>
        <v>44070</v>
      </c>
      <c r="D389" s="37"/>
      <c r="E389" s="37"/>
      <c r="F389" s="37"/>
      <c r="G389" s="38"/>
    </row>
    <row r="390" spans="2:7" x14ac:dyDescent="0.2">
      <c r="C390" s="25" t="s">
        <v>0</v>
      </c>
      <c r="D390" s="2" t="s">
        <v>1</v>
      </c>
      <c r="E390" s="5" t="s">
        <v>2</v>
      </c>
      <c r="F390" s="5" t="s">
        <v>3</v>
      </c>
      <c r="G390" s="6" t="s">
        <v>4</v>
      </c>
    </row>
    <row r="391" spans="2:7" x14ac:dyDescent="0.2">
      <c r="C391" s="25"/>
      <c r="D391" s="2"/>
      <c r="E391" s="5"/>
      <c r="F391" s="5"/>
      <c r="G391" s="6"/>
    </row>
    <row r="392" spans="2:7" x14ac:dyDescent="0.2">
      <c r="C392" s="25"/>
      <c r="D392" s="2"/>
      <c r="E392" s="5"/>
      <c r="F392" s="5"/>
      <c r="G392" s="6"/>
    </row>
    <row r="393" spans="2:7" x14ac:dyDescent="0.2">
      <c r="C393" s="25"/>
      <c r="D393" s="2"/>
      <c r="E393" s="5"/>
      <c r="F393" s="5"/>
      <c r="G393" s="6"/>
    </row>
    <row r="394" spans="2:7" x14ac:dyDescent="0.2">
      <c r="C394" s="25"/>
      <c r="D394" s="2"/>
      <c r="E394" s="5"/>
      <c r="F394" s="5"/>
      <c r="G394" s="6" t="str">
        <f t="shared" ref="G394:G404" si="26">IF(ISBLANK(E394),"",(E394-F394-(E394*0.014+0.25)))</f>
        <v/>
      </c>
    </row>
    <row r="395" spans="2:7" x14ac:dyDescent="0.2">
      <c r="C395" s="25"/>
      <c r="D395" s="2"/>
      <c r="E395" s="5"/>
      <c r="F395" s="5"/>
      <c r="G395" s="6" t="str">
        <f t="shared" si="26"/>
        <v/>
      </c>
    </row>
    <row r="396" spans="2:7" x14ac:dyDescent="0.2">
      <c r="C396" s="25"/>
      <c r="D396" s="2"/>
      <c r="E396" s="5"/>
      <c r="F396" s="5"/>
      <c r="G396" s="6" t="str">
        <f t="shared" si="26"/>
        <v/>
      </c>
    </row>
    <row r="397" spans="2:7" x14ac:dyDescent="0.2">
      <c r="C397" s="25"/>
      <c r="D397" s="2"/>
      <c r="E397" s="5"/>
      <c r="F397" s="5"/>
      <c r="G397" s="6" t="str">
        <f t="shared" si="26"/>
        <v/>
      </c>
    </row>
    <row r="398" spans="2:7" x14ac:dyDescent="0.2">
      <c r="C398" s="25"/>
      <c r="D398" s="2"/>
      <c r="E398" s="5"/>
      <c r="F398" s="5"/>
      <c r="G398" s="6" t="str">
        <f t="shared" si="26"/>
        <v/>
      </c>
    </row>
    <row r="399" spans="2:7" x14ac:dyDescent="0.2">
      <c r="C399" s="25"/>
      <c r="D399" s="2"/>
      <c r="E399" s="5"/>
      <c r="F399" s="5"/>
      <c r="G399" s="6" t="str">
        <f t="shared" si="26"/>
        <v/>
      </c>
    </row>
    <row r="400" spans="2:7" x14ac:dyDescent="0.2">
      <c r="C400" s="25"/>
      <c r="D400" s="2"/>
      <c r="E400" s="5"/>
      <c r="F400" s="5"/>
      <c r="G400" s="6" t="str">
        <f t="shared" si="26"/>
        <v/>
      </c>
    </row>
    <row r="401" spans="2:7" x14ac:dyDescent="0.2">
      <c r="C401" s="25"/>
      <c r="D401" s="2"/>
      <c r="E401" s="5"/>
      <c r="F401" s="5"/>
      <c r="G401" s="6" t="str">
        <f t="shared" si="26"/>
        <v/>
      </c>
    </row>
    <row r="402" spans="2:7" x14ac:dyDescent="0.2">
      <c r="C402" s="25"/>
      <c r="D402" s="2"/>
      <c r="E402" s="5"/>
      <c r="F402" s="5"/>
      <c r="G402" s="6" t="str">
        <f t="shared" si="26"/>
        <v/>
      </c>
    </row>
    <row r="403" spans="2:7" x14ac:dyDescent="0.2">
      <c r="C403" s="25"/>
      <c r="D403" s="2"/>
      <c r="E403" s="5"/>
      <c r="F403" s="5"/>
      <c r="G403" s="6" t="str">
        <f t="shared" si="26"/>
        <v/>
      </c>
    </row>
    <row r="404" spans="2:7" x14ac:dyDescent="0.2">
      <c r="C404" s="25"/>
      <c r="D404" s="2"/>
      <c r="E404" s="5"/>
      <c r="F404" s="5"/>
      <c r="G404" s="6" t="str">
        <f t="shared" si="26"/>
        <v/>
      </c>
    </row>
    <row r="405" spans="2:7" x14ac:dyDescent="0.2">
      <c r="B405" s="13">
        <f>G405</f>
        <v>0</v>
      </c>
      <c r="C405" s="30"/>
      <c r="D405" s="22"/>
      <c r="E405" s="22"/>
      <c r="F405" s="23" t="s">
        <v>5</v>
      </c>
      <c r="G405" s="24">
        <f>SUM(G391:G404)</f>
        <v>0</v>
      </c>
    </row>
    <row r="406" spans="2:7" x14ac:dyDescent="0.2">
      <c r="C406" s="36">
        <f>C389+1</f>
        <v>44071</v>
      </c>
      <c r="D406" s="37"/>
      <c r="E406" s="37"/>
      <c r="F406" s="37"/>
      <c r="G406" s="38"/>
    </row>
    <row r="407" spans="2:7" x14ac:dyDescent="0.2">
      <c r="C407" s="25" t="s">
        <v>0</v>
      </c>
      <c r="D407" s="2" t="s">
        <v>1</v>
      </c>
      <c r="E407" s="5" t="s">
        <v>2</v>
      </c>
      <c r="F407" s="5" t="s">
        <v>3</v>
      </c>
      <c r="G407" s="6" t="s">
        <v>4</v>
      </c>
    </row>
    <row r="408" spans="2:7" x14ac:dyDescent="0.2">
      <c r="C408" s="25"/>
      <c r="D408" s="2"/>
      <c r="E408" s="5"/>
      <c r="F408" s="5"/>
      <c r="G408" s="6" t="str">
        <f t="shared" ref="G408:G418" si="27">IF(ISBLANK(E408),"",(E408-F408-(E408*0.014+0.25)))</f>
        <v/>
      </c>
    </row>
    <row r="409" spans="2:7" x14ac:dyDescent="0.2">
      <c r="C409" s="25"/>
      <c r="D409" s="2"/>
      <c r="E409" s="5"/>
      <c r="F409" s="5"/>
      <c r="G409" s="6" t="str">
        <f t="shared" si="27"/>
        <v/>
      </c>
    </row>
    <row r="410" spans="2:7" x14ac:dyDescent="0.2">
      <c r="C410" s="25"/>
      <c r="D410" s="2"/>
      <c r="E410" s="5"/>
      <c r="F410" s="5"/>
      <c r="G410" s="6" t="str">
        <f t="shared" si="27"/>
        <v/>
      </c>
    </row>
    <row r="411" spans="2:7" x14ac:dyDescent="0.2">
      <c r="C411" s="25"/>
      <c r="D411" s="2"/>
      <c r="E411" s="5"/>
      <c r="F411" s="5"/>
      <c r="G411" s="6" t="str">
        <f t="shared" si="27"/>
        <v/>
      </c>
    </row>
    <row r="412" spans="2:7" x14ac:dyDescent="0.2">
      <c r="C412" s="25"/>
      <c r="D412" s="2"/>
      <c r="E412" s="5"/>
      <c r="F412" s="5"/>
      <c r="G412" s="6" t="str">
        <f t="shared" si="27"/>
        <v/>
      </c>
    </row>
    <row r="413" spans="2:7" x14ac:dyDescent="0.2">
      <c r="C413" s="25"/>
      <c r="D413" s="2"/>
      <c r="E413" s="5"/>
      <c r="F413" s="5"/>
      <c r="G413" s="6" t="str">
        <f t="shared" si="27"/>
        <v/>
      </c>
    </row>
    <row r="414" spans="2:7" x14ac:dyDescent="0.2">
      <c r="C414" s="25"/>
      <c r="D414" s="2"/>
      <c r="E414" s="5"/>
      <c r="F414" s="5"/>
      <c r="G414" s="6" t="str">
        <f t="shared" si="27"/>
        <v/>
      </c>
    </row>
    <row r="415" spans="2:7" x14ac:dyDescent="0.2">
      <c r="C415" s="25"/>
      <c r="D415" s="2"/>
      <c r="E415" s="5"/>
      <c r="F415" s="5"/>
      <c r="G415" s="6" t="str">
        <f t="shared" si="27"/>
        <v/>
      </c>
    </row>
    <row r="416" spans="2:7" x14ac:dyDescent="0.2">
      <c r="C416" s="25"/>
      <c r="D416" s="2"/>
      <c r="E416" s="5"/>
      <c r="F416" s="5"/>
      <c r="G416" s="6" t="str">
        <f t="shared" si="27"/>
        <v/>
      </c>
    </row>
    <row r="417" spans="2:7" x14ac:dyDescent="0.2">
      <c r="C417" s="25"/>
      <c r="D417" s="2"/>
      <c r="E417" s="5"/>
      <c r="F417" s="5"/>
      <c r="G417" s="6" t="str">
        <f t="shared" si="27"/>
        <v/>
      </c>
    </row>
    <row r="418" spans="2:7" x14ac:dyDescent="0.2">
      <c r="C418" s="25"/>
      <c r="D418" s="2"/>
      <c r="E418" s="5"/>
      <c r="F418" s="5"/>
      <c r="G418" s="6" t="str">
        <f t="shared" si="27"/>
        <v/>
      </c>
    </row>
    <row r="419" spans="2:7" x14ac:dyDescent="0.2">
      <c r="B419" s="13">
        <f>G419</f>
        <v>0</v>
      </c>
      <c r="C419" s="30"/>
      <c r="D419" s="22"/>
      <c r="E419" s="22"/>
      <c r="F419" s="23" t="s">
        <v>5</v>
      </c>
      <c r="G419" s="24">
        <f>SUM(G408:G418)</f>
        <v>0</v>
      </c>
    </row>
    <row r="420" spans="2:7" x14ac:dyDescent="0.2">
      <c r="C420" s="36">
        <f>C406+1</f>
        <v>44072</v>
      </c>
      <c r="D420" s="37"/>
      <c r="E420" s="37"/>
      <c r="F420" s="37"/>
      <c r="G420" s="38"/>
    </row>
    <row r="421" spans="2:7" x14ac:dyDescent="0.2">
      <c r="C421" s="25" t="s">
        <v>0</v>
      </c>
      <c r="D421" s="2" t="s">
        <v>1</v>
      </c>
      <c r="E421" s="5" t="s">
        <v>2</v>
      </c>
      <c r="F421" s="5" t="s">
        <v>3</v>
      </c>
      <c r="G421" s="6" t="s">
        <v>4</v>
      </c>
    </row>
    <row r="422" spans="2:7" x14ac:dyDescent="0.2">
      <c r="C422" s="25"/>
      <c r="D422" s="2"/>
      <c r="E422" s="5"/>
      <c r="F422" s="5"/>
      <c r="G422" s="6" t="str">
        <f>IF(ISBLANK(E422),"",(E422-F422-(E422*0.014+0.25)))</f>
        <v/>
      </c>
    </row>
    <row r="423" spans="2:7" x14ac:dyDescent="0.2">
      <c r="C423" s="25"/>
      <c r="D423" s="2"/>
      <c r="E423" s="5"/>
      <c r="F423" s="5"/>
      <c r="G423" s="6" t="str">
        <f>IF(ISBLANK(E423),"",(E423-F423-(E423*0.014+0.25)))</f>
        <v/>
      </c>
    </row>
    <row r="424" spans="2:7" x14ac:dyDescent="0.2">
      <c r="C424" s="25"/>
      <c r="D424" s="2"/>
      <c r="E424" s="5"/>
      <c r="F424" s="5"/>
      <c r="G424" s="6" t="str">
        <f>IF(ISBLANK(E424),"",(E424-F424-(E424*0.014+0.25)))</f>
        <v/>
      </c>
    </row>
    <row r="425" spans="2:7" x14ac:dyDescent="0.2">
      <c r="C425" s="25"/>
      <c r="D425" s="2"/>
      <c r="E425" s="5"/>
      <c r="F425" s="5"/>
      <c r="G425" s="6" t="str">
        <f>IF(ISBLANK(E425),"",(E425-F425-(E425*0.014+0.25)))</f>
        <v/>
      </c>
    </row>
    <row r="426" spans="2:7" x14ac:dyDescent="0.2">
      <c r="C426" s="25"/>
      <c r="D426" s="2"/>
      <c r="E426" s="5"/>
      <c r="F426" s="5"/>
      <c r="G426" s="6" t="str">
        <f>IF(ISBLANK(E426),"",(E426-F426-(E426*0.014+0.25)))</f>
        <v/>
      </c>
    </row>
    <row r="427" spans="2:7" x14ac:dyDescent="0.2">
      <c r="B427" s="13">
        <f>G427</f>
        <v>0</v>
      </c>
      <c r="C427" s="30"/>
      <c r="D427" s="22"/>
      <c r="E427" s="22"/>
      <c r="F427" s="23" t="s">
        <v>5</v>
      </c>
      <c r="G427" s="24">
        <f>SUM(G422:G426)</f>
        <v>0</v>
      </c>
    </row>
    <row r="428" spans="2:7" x14ac:dyDescent="0.2">
      <c r="C428" s="36">
        <f>C420+1</f>
        <v>44073</v>
      </c>
      <c r="D428" s="37"/>
      <c r="E428" s="37"/>
      <c r="F428" s="37"/>
      <c r="G428" s="38"/>
    </row>
    <row r="429" spans="2:7" x14ac:dyDescent="0.2">
      <c r="C429" s="25" t="s">
        <v>0</v>
      </c>
      <c r="D429" s="2" t="s">
        <v>1</v>
      </c>
      <c r="E429" s="5" t="s">
        <v>2</v>
      </c>
      <c r="F429" s="5" t="s">
        <v>3</v>
      </c>
      <c r="G429" s="6" t="s">
        <v>4</v>
      </c>
    </row>
    <row r="430" spans="2:7" x14ac:dyDescent="0.2">
      <c r="C430" s="25"/>
      <c r="D430" s="2"/>
      <c r="E430" s="5"/>
      <c r="F430" s="5"/>
      <c r="G430" s="6" t="str">
        <f t="shared" ref="G430:G437" si="28">IF(ISBLANK(E430),"",(E430-F430-(E430*0.014+0.25)))</f>
        <v/>
      </c>
    </row>
    <row r="431" spans="2:7" x14ac:dyDescent="0.2">
      <c r="C431" s="25"/>
      <c r="D431" s="2"/>
      <c r="E431" s="5"/>
      <c r="F431" s="5"/>
      <c r="G431" s="6" t="str">
        <f t="shared" si="28"/>
        <v/>
      </c>
    </row>
    <row r="432" spans="2:7" x14ac:dyDescent="0.2">
      <c r="C432" s="25"/>
      <c r="D432" s="2"/>
      <c r="E432" s="5"/>
      <c r="F432" s="5"/>
      <c r="G432" s="6" t="str">
        <f t="shared" si="28"/>
        <v/>
      </c>
    </row>
    <row r="433" spans="2:7" x14ac:dyDescent="0.2">
      <c r="C433" s="25"/>
      <c r="D433" s="2"/>
      <c r="E433" s="5"/>
      <c r="F433" s="5"/>
      <c r="G433" s="6" t="str">
        <f t="shared" si="28"/>
        <v/>
      </c>
    </row>
    <row r="434" spans="2:7" x14ac:dyDescent="0.2">
      <c r="C434" s="25"/>
      <c r="D434" s="2"/>
      <c r="E434" s="5"/>
      <c r="F434" s="5"/>
      <c r="G434" s="6" t="str">
        <f t="shared" si="28"/>
        <v/>
      </c>
    </row>
    <row r="435" spans="2:7" x14ac:dyDescent="0.2">
      <c r="C435" s="25"/>
      <c r="D435" s="2"/>
      <c r="E435" s="5"/>
      <c r="F435" s="5"/>
      <c r="G435" s="6" t="str">
        <f t="shared" si="28"/>
        <v/>
      </c>
    </row>
    <row r="436" spans="2:7" x14ac:dyDescent="0.2">
      <c r="C436" s="25"/>
      <c r="D436" s="2"/>
      <c r="E436" s="5"/>
      <c r="F436" s="5"/>
      <c r="G436" s="6" t="str">
        <f t="shared" si="28"/>
        <v/>
      </c>
    </row>
    <row r="437" spans="2:7" x14ac:dyDescent="0.2">
      <c r="C437" s="25"/>
      <c r="D437" s="2"/>
      <c r="E437" s="5"/>
      <c r="F437" s="5"/>
      <c r="G437" s="6" t="str">
        <f t="shared" si="28"/>
        <v/>
      </c>
    </row>
    <row r="438" spans="2:7" x14ac:dyDescent="0.2">
      <c r="B438" s="13">
        <f>G438</f>
        <v>0</v>
      </c>
      <c r="C438" s="30"/>
      <c r="D438" s="22"/>
      <c r="E438" s="22"/>
      <c r="F438" s="23" t="s">
        <v>5</v>
      </c>
      <c r="G438" s="24">
        <f>SUM(G430:G437)</f>
        <v>0</v>
      </c>
    </row>
    <row r="439" spans="2:7" x14ac:dyDescent="0.2">
      <c r="C439" s="36">
        <f>C428+1</f>
        <v>44074</v>
      </c>
      <c r="D439" s="37"/>
      <c r="E439" s="37"/>
      <c r="F439" s="37"/>
      <c r="G439" s="38"/>
    </row>
    <row r="440" spans="2:7" x14ac:dyDescent="0.2">
      <c r="C440" s="25" t="s">
        <v>0</v>
      </c>
      <c r="D440" s="2" t="s">
        <v>1</v>
      </c>
      <c r="E440" s="5" t="s">
        <v>2</v>
      </c>
      <c r="F440" s="5" t="s">
        <v>3</v>
      </c>
      <c r="G440" s="6" t="s">
        <v>4</v>
      </c>
    </row>
    <row r="441" spans="2:7" x14ac:dyDescent="0.2">
      <c r="C441" s="16"/>
      <c r="D441" s="2"/>
      <c r="E441" s="5"/>
      <c r="F441" s="5"/>
      <c r="G441" s="6" t="str">
        <f>IF(ISBLANK(E441),"",(E441-F441-(E441*0.014+0.25)))</f>
        <v/>
      </c>
    </row>
    <row r="442" spans="2:7" x14ac:dyDescent="0.2">
      <c r="C442" s="16"/>
      <c r="D442" s="2"/>
      <c r="E442" s="5"/>
      <c r="F442" s="5"/>
      <c r="G442" s="6" t="str">
        <f>IF(ISBLANK(E442),"",(E442-F442-(E442*0.014+0.25)))</f>
        <v/>
      </c>
    </row>
    <row r="443" spans="2:7" x14ac:dyDescent="0.2">
      <c r="C443" s="16"/>
      <c r="D443" s="2"/>
      <c r="E443" s="5"/>
      <c r="F443" s="5"/>
      <c r="G443" s="6" t="str">
        <f>IF(ISBLANK(E443),"",(E443-F443-(E443*0.014+0.25)))</f>
        <v/>
      </c>
    </row>
    <row r="444" spans="2:7" x14ac:dyDescent="0.2">
      <c r="C444" s="25"/>
      <c r="D444" s="2"/>
      <c r="E444" s="5"/>
      <c r="F444" s="5"/>
      <c r="G444" s="6" t="str">
        <f>IF(ISBLANK(E444),"",(E444-F444-(E444*0.014+0.25)))</f>
        <v/>
      </c>
    </row>
    <row r="445" spans="2:7" x14ac:dyDescent="0.2">
      <c r="B445" s="13">
        <f>G445</f>
        <v>0</v>
      </c>
      <c r="C445" s="30" t="s">
        <v>13</v>
      </c>
      <c r="D445" s="22">
        <v>60.25</v>
      </c>
      <c r="E445" s="21">
        <f>G445-D445</f>
        <v>-60.25</v>
      </c>
      <c r="F445" s="23" t="s">
        <v>5</v>
      </c>
      <c r="G445" s="24">
        <f>SUM(G441:G444)</f>
        <v>0</v>
      </c>
    </row>
  </sheetData>
  <mergeCells count="32">
    <mergeCell ref="C428:G428"/>
    <mergeCell ref="C439:G439"/>
    <mergeCell ref="C345:G345"/>
    <mergeCell ref="C362:G362"/>
    <mergeCell ref="C376:G376"/>
    <mergeCell ref="C389:G389"/>
    <mergeCell ref="C406:G406"/>
    <mergeCell ref="C420:G420"/>
    <mergeCell ref="C331:G331"/>
    <mergeCell ref="C174:G174"/>
    <mergeCell ref="C187:G187"/>
    <mergeCell ref="C200:G200"/>
    <mergeCell ref="C217:G217"/>
    <mergeCell ref="C230:G230"/>
    <mergeCell ref="C244:G244"/>
    <mergeCell ref="C257:G257"/>
    <mergeCell ref="C270:G270"/>
    <mergeCell ref="C287:G287"/>
    <mergeCell ref="C304:G304"/>
    <mergeCell ref="C317:G317"/>
    <mergeCell ref="C158:G158"/>
    <mergeCell ref="K1:K2"/>
    <mergeCell ref="C5:G5"/>
    <mergeCell ref="C20:G20"/>
    <mergeCell ref="C36:G36"/>
    <mergeCell ref="C50:G50"/>
    <mergeCell ref="C65:G65"/>
    <mergeCell ref="C82:G82"/>
    <mergeCell ref="C98:G98"/>
    <mergeCell ref="C114:G114"/>
    <mergeCell ref="C130:G130"/>
    <mergeCell ref="C144:G144"/>
  </mergeCells>
  <conditionalFormatting sqref="K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Juillet</vt:lpstr>
      <vt:lpstr>Aout</vt:lpstr>
      <vt:lpstr>Septembre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Office_Excel</dc:creator>
  <cp:lastModifiedBy>Microsoft Office User</cp:lastModifiedBy>
  <dcterms:created xsi:type="dcterms:W3CDTF">2019-12-11T15:43:52Z</dcterms:created>
  <dcterms:modified xsi:type="dcterms:W3CDTF">2020-08-04T17:13:59Z</dcterms:modified>
</cp:coreProperties>
</file>